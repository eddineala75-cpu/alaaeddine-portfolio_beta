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LENOVO\Downloads\DV1.2\"/>
    </mc:Choice>
  </mc:AlternateContent>
  <xr:revisionPtr revIDLastSave="0" documentId="8_{E54D4CF7-CAC1-42A8-92D4-77F0C16E1331}" xr6:coauthVersionLast="47" xr6:coauthVersionMax="47" xr10:uidLastSave="{00000000-0000-0000-0000-000000000000}"/>
  <bookViews>
    <workbookView xWindow="-108" yWindow="-108" windowWidth="23256" windowHeight="12576" activeTab="1" xr2:uid="{00000000-000D-0000-FFFF-FFFF00000000}"/>
  </bookViews>
  <sheets>
    <sheet name="Page de garde" sheetId="5" r:id="rId1"/>
    <sheet name="Données personnelles TN" sheetId="1" r:id="rId2"/>
    <sheet name="Sécurité de l'information  TN" sheetId="2" r:id="rId3"/>
    <sheet name="Propriété intellectuelle + brev" sheetId="7" r:id="rId4"/>
    <sheet name="RGPD" sheetId="10" r:id="rId5"/>
    <sheet name="Securité de l'information FR" sheetId="4" r:id="rId6"/>
    <sheet name="Prop intellectuelle + brevts FR"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4" l="1"/>
  <c r="G11" i="1"/>
  <c r="G2" i="1"/>
  <c r="H36" i="8"/>
  <c r="H33" i="8" s="1"/>
  <c r="G52" i="4"/>
  <c r="G47" i="4"/>
  <c r="G42" i="4"/>
  <c r="G35" i="4"/>
  <c r="G16" i="4"/>
  <c r="G8" i="4"/>
  <c r="G68" i="7"/>
  <c r="G70" i="7"/>
  <c r="H43" i="2"/>
  <c r="H7" i="2"/>
  <c r="H20" i="2"/>
  <c r="H2" i="2"/>
  <c r="G39" i="10" l="1"/>
  <c r="H29" i="8"/>
  <c r="H2" i="8" s="1"/>
  <c r="G47" i="7"/>
  <c r="G4" i="7" s="1"/>
  <c r="G2" i="7" s="1"/>
  <c r="H38" i="2"/>
  <c r="G38" i="10" l="1"/>
  <c r="G37" i="10" l="1"/>
  <c r="G2" i="10" s="1"/>
</calcChain>
</file>

<file path=xl/sharedStrings.xml><?xml version="1.0" encoding="utf-8"?>
<sst xmlns="http://schemas.openxmlformats.org/spreadsheetml/2006/main" count="1867" uniqueCount="846">
  <si>
    <t>Loi</t>
  </si>
  <si>
    <t>Article</t>
  </si>
  <si>
    <t>Loi n° 2004-5 du 3 février 2004, relative à la sécurité informatique</t>
  </si>
  <si>
    <t>Décret-loi n° 2023-17 du 11 mars 2023, relatif à la cybersécurité</t>
  </si>
  <si>
    <t>Justification si Non Applicable</t>
  </si>
  <si>
    <t>Plan d'Action en cas de Non-Conformité</t>
  </si>
  <si>
    <t>Loi de programation militaire</t>
  </si>
  <si>
    <t>N° Article</t>
  </si>
  <si>
    <t>Art 2</t>
  </si>
  <si>
    <t>Art 3</t>
  </si>
  <si>
    <t>Art 4</t>
  </si>
  <si>
    <t>Art 6</t>
  </si>
  <si>
    <t>Art 8</t>
  </si>
  <si>
    <t>Toute opération de traitement des données à caractère personnel est soumise à une déclaration préalable ou à une autorisation dans les cas prévus par la loi organique 
relative à la protection des données à caractère personnel susvisée.</t>
  </si>
  <si>
    <t>Art 10</t>
  </si>
  <si>
    <t>Art 11</t>
  </si>
  <si>
    <t>Art 12</t>
  </si>
  <si>
    <t>Art 13</t>
  </si>
  <si>
    <t>Les déclarations préalables et les demandes d’autorisation de traitement des données à caractère personnel sont présentées par le biais de formulaires sous format papier ou dans une version électronique mise à la disposition du public.
Les formulaires doivent être signés personnellement par le responsable du traitement s’il s’agit d’une personne physique ou par le représentant légal pour la personne morale.</t>
  </si>
  <si>
    <t>La déclaration ou la demande d’autorisation est déposée directement à l’instance nationale de protection des données à caractère personnel contre récépissé ou envoyée par lettre recommandée avec accusé de réception ou par tout autre moyen laissant une trace écrite.</t>
  </si>
  <si>
    <t>Dans le cas où des informations, garanties supplémentaires, ou autres documents nécessaires sont exigés au sens de l’article 5 du présent décret, l’instance nationale 
de protection des données à caractère personnel fixe à l’intéressé un délai pour fournir ce qui lui a été demandé. Dans ce cas, l’écoulement du délai légal pour examiner 
la déclaration ou statuer sur la demande d’autorisation est interrompu. Ce délai est compté de nouveau à partir de la date de fourniture de ce qui est demandé ou à partir 
de la réponse explicite négative de l’intéressé ou l’expiration du délai prévu à cet effet par l’instance sans fournir ce qui a été demandé.</t>
  </si>
  <si>
    <t>Le formulaire de déclaration préalable au traitement des données à caractère personnel comprend les informations suivantes :
- le nom, prénom et domicile du responsable du traitement, du sous traitant et de leurs agents pour la personne physique, et s’il s’agit d’une personne morale, sa dénomination sociale, son siège social, l’identité de son représentant légal et le numéro d’immatriculation au registre de commerce, le cas échéant,
- l’identité des personnes concernées par les données à caractère personnel et leurs domiciles, les finalités du traitement et ses normes,
- les catégories du traitement, son lieu et la date du traitement,
- les données à caractère personnel dont le traitement est envisagé, ainsi que leur origine,
- les personnes ou les autorités susceptibles de prendre connaissance des données à caractère personnel en raison de leur fonction,
- les bénéficiaires des données à caractère personnel objet du traitement,
- le lieu de conservation des données à caractère personnel objet du traitement et sa durée,
- les mesures prises pour assurer la confidentialité des données à caractère personnel et leur sécurité,
- la description des bases de données auxquelles le responsable du traitement est interconnecté,
- l’engagement de procéder au traitement des données à caractère personnel conformément aux dispositions prévues par la loi,
- la déclaration que les conditions de la nationalité tunisienne, la résidence en Tunisie et l’absence d’antécédents judiciaires sont remplies pour le responsable du traitement des données à caractère personnel, le sous-traitant et leurs agents.</t>
  </si>
  <si>
    <t>Avant l’utilisation de moyens de vidéo-surveillance, une autorisation doit être obtenue de l’instance nationale de protection des données à caractère personnel. Le formulaire de demande d’autorisation comprend, outre les informations prévues à l’article 8 de la loi organique relative à la protection des données à caractère personnel susvisée, les informations suivantes :
- le numéro d’immatriculation au registre de commerce, le cas échéant, pour la personne morale,
- la description globale des lieux où les moyens de vidéo-surveillance sont installés,
- le but de l’utilisation des moyens de vidéo-surveillance.</t>
  </si>
  <si>
    <t>Une autorisation doit aussi être obtenue de l’instance nationale de protection des données à caractère personnel avant l’exécution des opérations suivantes :
- la communication des données à caractère personnel aux tiers en l’absence du consentement de l’intéressé ou de ses héritiers ou de son tuteur,
- le transfert des données à caractère personnel vers l’étranger,
- la communication des données à caractère personnel relatives à la santé aux personnes ou établissements effectuant de la recherche scientifique dans le domaine de la santé,
- le traitement des données à caractère personnel qui concernent directement ou indirectement les origines raciales ou génétiques, les convictions religieuses, les opinions politiques, philosophiques ou syndicales ou la santé.
Le formulaire de la demande d’autorisation comprend, outre les informations prévues à l’article 8 de la loi organique relative à la protection des données à caractère personnel, les informations suivantes :
- le numéro d’immatriculation au registre de commerce, le cas échéant, pour la personne morale,
- les données à caractère personnel destinées au transfert et leur nature,
- le pays auquel les données à caractère personnel vont être transférées.</t>
  </si>
  <si>
    <t>Si le responsable du traitement ou le sous-traitant porte atteinte aux obligations légales auxquelles il est soumis, l’instance décide après son audition le retrait de l’autorisation ou l’interdiction du traitement.
L’instance peut, avant la prise de sa décision de retrait de l’autorisation ou d’interdiction du traitement, lui fixer un délai pour régulariser les manquements.
En cas d’urgence et si la poursuite du traitement objet de l’autorisation ou de la déclaration constitue une violation flagrante de la loi, l’instance peut interdire provisoirement le traitement et ce, pour un délai ne dépassant pas un mois. Au cours de ce délai, une décision définitive de retrait de l’autorisation ou d’interdiction du traitement doit être prise.</t>
  </si>
  <si>
    <t>Toute opération de traitement des données à caractère personnel est soumise à une déclaration
préalable déposée au siège de l’Instance nationale de protection des données à caractère
personnel contre récépissé ou notifiée par lettre recommandée avec accusé de réception ou par
tout autre moyen laissant une trace écrite.
La déclaration est effectuée par le responsable du traitement ou son représentant légal.
La déclaration n’exonère pas de la responsabilité à l’égard des tiers.
Les conditions et les procédures de la présentation de la déclaration sont fixées par décret.
La non opposition de l’Instance au traitement des données à caractère personnel, dans un délai
d’un mois à compter de la présentation de la déclaration, vaut acceptation</t>
  </si>
  <si>
    <t>Tout traitement de données personnelles nécessite une déclaration préalable ou une autorisation, selon les cas prévus par la loi.</t>
  </si>
  <si>
    <t xml:space="preserve">Les formulaires de déclaration ou d'autorisation doivent être remplis en papier ou électronique, et signés personnellement par le responsable du traitement.
</t>
  </si>
  <si>
    <t>Les demandes sont adressées à l’INPDP par dépôt avec récépissé ou par tout moyen laissant une trace écrite.</t>
  </si>
  <si>
    <t xml:space="preserve">Si des informations complémentaires sont demandées, le délai légal est suspendu jusqu'à leur réception. Le traitement du dossier reprend ensuite.
</t>
  </si>
  <si>
    <t xml:space="preserve">L’usage de vidéo-surveillance nécessite une autorisation spéciale. Le formulaire doit préciser les lieux, objectifs et le numéro de registre de commerce.
</t>
  </si>
  <si>
    <t xml:space="preserve">Une autorisation est requise pour :
la communication à des tiers sans consentement,
les transferts à l’étranger,
le traitement de données sensibles (santé, religion, opinions...).
Des informations précises doivent être fournies, notamment sur les données transférées et leur destination.
</t>
  </si>
  <si>
    <t xml:space="preserve">En cas de manquement, l’instance peut retirer l’autorisation ou interdire le traitement après audition. En urgence, elle peut prononcer une interdiction provisoire d’un mois.
</t>
  </si>
  <si>
    <t>ART 7</t>
  </si>
  <si>
    <t>ART 8</t>
  </si>
  <si>
    <t>ART 9</t>
  </si>
  <si>
    <t>ART 10</t>
  </si>
  <si>
    <t>ART 11</t>
  </si>
  <si>
    <t>ART 12</t>
  </si>
  <si>
    <t>ART 13</t>
  </si>
  <si>
    <t>ART 14</t>
  </si>
  <si>
    <t>ART 15</t>
  </si>
  <si>
    <t>ART 17</t>
  </si>
  <si>
    <t>ART 18</t>
  </si>
  <si>
    <t>ART 19</t>
  </si>
  <si>
    <t>ART 20</t>
  </si>
  <si>
    <t>ART 21</t>
  </si>
  <si>
    <t>ART 22</t>
  </si>
  <si>
    <t>ART 23</t>
  </si>
  <si>
    <t>ART 24</t>
  </si>
  <si>
    <t>ART 27</t>
  </si>
  <si>
    <t>ART 28</t>
  </si>
  <si>
    <t>ART 30</t>
  </si>
  <si>
    <t>ART 31</t>
  </si>
  <si>
    <t>ART 32</t>
  </si>
  <si>
    <t>ART 33</t>
  </si>
  <si>
    <t>ART 34</t>
  </si>
  <si>
    <t>ART 38</t>
  </si>
  <si>
    <t>ART 39</t>
  </si>
  <si>
    <t>ART 44</t>
  </si>
  <si>
    <t>ART 46</t>
  </si>
  <si>
    <t>ART 47</t>
  </si>
  <si>
    <t>ART 49</t>
  </si>
  <si>
    <t>ART 50</t>
  </si>
  <si>
    <t>ART 51</t>
  </si>
  <si>
    <t>ART 52</t>
  </si>
  <si>
    <t>Dans les cas où la présente loi exige l’obtention d’une autorisation de l’Instance pour le
traitement des données à caractère personnel, la demande d’autorisation doit comprendre
notamment les informations suivantes :
- Le nom, prénom et domicile du responsable du traitement, et s’il est une personne morale,
sa dénomination sociale, son siège social et l’identité de son représentant légal.
- L’identité des personnes concernées par les données à caractère personnel et leurs domiciles.
- Les finalités du traitement et ses normes.
- les catégories du traitement, son lieu et la date du traitement.
- Les données à caractère personnel dont le traitement est envisagé, ainsi que leur origine.
- Les personnes ou les autorités susceptibles de prendre connaissance de ces données eu égard
à leur fonction.
- Les bénéficiaires des données objet du traitement.
- Le lieu de conservation des données à caractère personnel objet du traitement et sa durée.
- Les mesures prises pour assurer la confidentialité du traitement et sa sécurité.
3
-La description des bases des données auxquelles le responsable du traitement est
interconnecté.
-L’engagement de procéder au traitement des données à caractère personnel conformément
aux dispositions prévues par la loi.
- La déclaration que les conditions prévues par l’article 22 de la présente loi sont réunies.
En cas de changement intervenant dans les mentions énumérées ci-dessus, l’autorisation de
l’instance doit être obtenue.
La demande d’autorisation est présentée par le responsable du traitement ou son représentant
légal.
L’autorisation n’exonère pas de la responsabilité à l’égard des tiers.
Les conditions de la présentation de la demande d’autorisation et ses procédures sont fixées
par décret.</t>
  </si>
  <si>
    <t>Le traitement des donnés à caractère personnel doit se faire dans le cadre du respect de la
dignité humaine, de la vie privée et des libertés publiques.
Le traitement des données à caractère personnel, quelle que soit son origine ou sa forme, ne
doit pas porter atteinte aux droits des personnes protégés par les lois et les règlements en
vigueur, et il est, dans tous les cas, interdit d’utiliser ces données pour porter atteinte aux
personnes ou à leur réputation.</t>
  </si>
  <si>
    <t>Est interdit le traitement des données à caractère personnel relatives aux infractions, à leur
constatation, aux poursuites pénales, aux peines, aux mesures préventives ou aux antécédents
judiciaires.</t>
  </si>
  <si>
    <t>Le traitement des données à caractère personnel mentionnées par l’article 14 de la présente
loi est soumis à l’autorisation de l’Instance Nationale de Protection des données à Caractère
Personnel à l’exception des données relatives à la santé.
L’instance doit donner sa réponse concernant la demande d’autorisation dans un délai ne
dépassant pas trente jours à compter de la date de sa réception. Le défaut de la réponse dans ce
délai vaut refus.
L’instance peut décider d’accepter la demande tout en imposant au responsable du traitement
l’obligation de prendre des précautions ou des mesures qu’elle juge nécessaires à la sauvegarde
de l’intérêt de la personne concernée.</t>
  </si>
  <si>
    <t>Il est, dans tous les cas, strictement interdit de lier la prestation d’un service ou l’octroi d’un
avantage à une personne à son acceptation du traitement de ses données personnelles ou de leur
exploitation à des fins autres que celles pour lesquelles elles ont été collectées</t>
  </si>
  <si>
    <t>Toute personne qui effectue, personnellement ou par une tierce personne, le traitement des
données à caractère personnel est tenue à l’égard des personnes concernées de prendre toutes
les précautions nécessaires pour assurer la sécurité de ces données et empêcher les tiers de
procéder à leur modification, à leur altération ou à leur consultation sans l’autorisation de la
personne concernée.</t>
  </si>
  <si>
    <t>Les précautions prévues à l’article 18 de la présente loi doivent :
- empêcher que les équipements et les installations utilisés dans le traitement des données à
caractère personnel soient placés dans des conditions ou des lieux permettant à des personnes
non autorisées d’y accéder ;
- empêcher que les supports des données puissent être lus, copiés, modifiés ou déplacés par
une personne non autorisée ;
- empêcher l’introduction non autorisée de toute donnée dans le système d’information, ainsi
que toute prise de connaissance, tout effacement ou toute radiation des données enregistrées ;
- empêcher que le système de traitement d’information puisse être utilisé par des personnes
non autorisées ;
- garantir que puissent être vérifiés à posteriori l’identité des personnes ayant eu accès au
système d’information, les données qui ont été introduites dans le système, le moment de cette
introduction ainsi que la personne qui l’a effectuée ;
- empêcher que les données puissent être lues, copiées, modifiées, effacées ou radiées, lors de
leur communication où du transport de leur support ;
- sauvegarder les données par la constitution de copies de réserve sécurisées ;</t>
  </si>
  <si>
    <t xml:space="preserve">
La collecte des données à caractère personnel ne peut être effectuée que pour des finalités
licites, déterminées et explicites.</t>
  </si>
  <si>
    <t xml:space="preserve">
Le traitement des données à caractère personnel ne peut être effectué pour des finalités autres
que celles pour lesquelles elles ont été collectées sauf dans les cas suivants :
- Si la personne concernée a donné son consentement.
- Si le traitement est nécessaire à la sauvegarde d’un intérêt vital de la personne concernée.
- Si le traitement mis en oeuvre est nécessaire à des fins scientifiques certaines.</t>
  </si>
  <si>
    <t xml:space="preserve">
Les données à caractère personnel doivent être traitées loyalement, et dans la limite nécessaire
au regard des finalités pour lesquelles elles ont été collectées. Le responsable du traitement doit
également s’assurer que ces données sont exactes, précises et mises à jour.</t>
  </si>
  <si>
    <t>Le responsable du traitement et le sous-traitant doivent corriger, compléter, modifier ou
mettre à jour les fichiers dont ils disposent, et effacer les données à caractère personnel de ces
fichiers s’ils ont eu connaissance de l’inexactitude ou de l’insuffisance de ces données.
Dans ce cas, le responsable du traitement et le sous-traitant doivent informer, la personne
concernée et le bénéficiaire de manière légitime des données, de toute modification apportée
aux données à caractère personnel qu’il a reçue précédemment.
La notification s’effectue dans un délai de deux mois, à compter de la date de la modification,
par voie de lettre recommandée avec accusé de réception ou par n’importe quel moyen laissant
une trace écrite.</t>
  </si>
  <si>
    <t>Sans préjudice des lois et règlements en vigueur, la personne physique ou le représentant
légal de la personne morale désirant effectuer le traitement des données à caractère personnel et
leurs agents doivent remplir les conditions suivantes :
- être de nationalité tunisienne.
- être résident en Tunisie.
- être sans antécédents judiciaires.
Ces conditions s’appliquent également au sous-traitant et à ses agents.</t>
  </si>
  <si>
    <t>Le responsable du traitement, le sous-traitant et leurs agents, même après la fin du traitement
ou la perte de leur qualité, doivent préserver la confidentialité des données personnelles et les
informations traitées à l’exception de celles dont la diffusion a été acceptée par écrit par la
personne concernée ou dans le cas prévus par la législation en vigueur.</t>
  </si>
  <si>
    <t>Le responsable du traitement des données à caractère personnel ou le sous-traitant qui
envisage de cesser définitivement son activité doit en informer l’Instance trois mois avant la
date de la cessation d’activité.
En cas de décès du responsable du traitement ou du sous-traitant ou de sa faillite ou en cas de
dissolution de la personne morale, les héritiers, le syndic de faillite ou le liquidateur, selon la
situation, doivent en informer l’Instance dans un délai ne dépassant pas trois mois à compter de
la date de la survenance du fait.
L’Instance, dans un délai ne dépassant pas un mois à compter de la date de son information
conformément au paragraphe précédent, autorise la destruction des données à caractère
personnel.</t>
  </si>
  <si>
    <t>A l’exclusion de cas prévus par la présente loi ou les lois en vigueur, le traitement des
données à caractère personnel ne peut être effectué qu’avec le consentement exprès et écrit de
la personne concernée, si celle-ci est une personne incapable ou interdite ou incapable de
signer, le consentement est régi par les règes générales de droit.
La personne concernée ou son tuteur peut, à tout moment, se rétracter.</t>
  </si>
  <si>
    <t>Le traitement des données à caractère personnel qui concerne un enfant ne peut s’effectuer
qu’après l’obtention du consentement de son tuteur et de l’autorisation du juge de la famille.
Le juge de la famille peut ordonner le traitement même sans le consentement du tuteur
lorsque l’intérêt supérieur de l’enfant l’exige.
Le juge de la famille peut, à tout moment, revenir sur son autorisation.</t>
  </si>
  <si>
    <t xml:space="preserve">
Le consentement au traitement des données à caractère personnel sous une forme déterminée
ou pour une finalité déterminée ne s’applique pas aux autres formes ou finalités.
Il est interdit d’utiliser le traitement des données à caractère personnel à des fins publicitaires
sauf consentement exprès et particulier de la personne concernée, de ses héritiers ou de son
tuteur. Le consentement à cet égard est soumis aux règles générales de droit.
Lorsque la personne concernée est un enfant, les dispositions de l’article 28 de la présente loi
s’appliquent.</t>
  </si>
  <si>
    <t xml:space="preserve">
Après l’expiration du délai fixé par l’article 7 de la présente loi pour l’opposition de
l’Instance, il faut informer au préalable et par n’importe quel moyen laissant une trace écrite les
personnes concernées par la collecte des données à caractère personnel de ce qui suit :
- La nature des données à caractère personnel concernées par le traitement.
- Les finalités du traitement des données à caractère personnel.
- Le caractère obligatoire ou facultatif de leur réponse.
- Les conséquences du défaut de réponse.
- Le nom de la personne physique ou morale bénéficiaire des données, ou de celui qui dispose
du droit d’accès et son domicile.
- Le nom et prénom du responsable du traitement ou sa dénomination sociale et, le cas
échéant, son représentant et son domicile.
- Leur droit d’accès aux données les concernant.
- Leur droit de revenir, à tout moment, sur l’acceptation du traitement.
- Leur droit de s’opposer au traitement de leurs données à caractère personnel.
- La durée de conservation des données à caractère personnel.
- Une description sommaire des mesures mises en oeuvre pour garantir la sécurité des données
à caractère personnel.
- Le pays vers lequel le responsable du traitement entend, le cas échéant, transférer les
données à caractère personnel.
La notification s’effectue par lettre recommandée avec accusé de réception ou par n’importe
quel moyen laissant une trace écrite dans un délai d’un mois au moins avant la date fixée pour
le traitement des données à caractère personnel.</t>
  </si>
  <si>
    <t xml:space="preserve">
La demande d’accès est présentée par la personne concernée ou ses héritiers ou son tuteur par
écrit ou par n’importe quel moyen laissant une trace écrite. La personne concernée, ses héritiers
ou son tuteur peuvent demander de la même manière l’obtention de copies des données dans un
délai ne dépassant pas un mois à compter de ladite demande.
Dans le cas où le responsable du traitement ou le sous-traitant refuse de permettre à la
personne concernée, à ses héritiers ou à son tuteur la consultation des données à caractère
personnel requises, ou diffère l’accès à ces données, ou refuse de leur délivrer une copie de ces
données, la personne concernée, ses héritiers ou son tuteur peuvent présenter une demande à
l’Instance dans un délai maximum d’un mois à compter de la date du refus.
L’instance, après l’audition des deux parties et l’accomplissement des investigations
nécessaires, peut ordonner la consultation des informations requises ou la délivrance d’une
copie de ces informations ou d’approbation du refus, et ce, dans un délai ne dépassant pas un
mois à compter de la date de sa saisine.
La personne concernée, ses héritiers ou son tuteur peuvent présenter à l’Instance, le cas
échéant, une demande afin de prendre toutes les mesures appropriées pour empêcher la
destruction ou la dissimulation des données à caractère personnel. L’instance doit statuer sur la
demande dans un délai de sept jours à compter de la date de l’introduction de la demande.
La destruction ou la dissimulation de ces données est interdite dès la présentation de la
demande.</t>
  </si>
  <si>
    <t>ART 55</t>
  </si>
  <si>
    <t>ART 61</t>
  </si>
  <si>
    <t>ART 63</t>
  </si>
  <si>
    <t>ART 64</t>
  </si>
  <si>
    <t>ART 66</t>
  </si>
  <si>
    <t>ART 67</t>
  </si>
  <si>
    <t>ART 68</t>
  </si>
  <si>
    <t>ART 69</t>
  </si>
  <si>
    <t>ART 70</t>
  </si>
  <si>
    <t>ART 71</t>
  </si>
  <si>
    <t>ART 72</t>
  </si>
  <si>
    <t>ART 73</t>
  </si>
  <si>
    <t>ART 74</t>
  </si>
  <si>
    <t xml:space="preserve">
La limitation du droit d’accès de la personne concernée, ses héritiers ou de son tuteur aux
données à caractère personnel la concernant n’est possible que dans les cas suivants :
- Lorsque le traitement des données à caractère personnel est effectué à des fins scientifiques
et à condition que ces données n’affectent la vie privée de la personne concernée que d’une
façon limitée.
- Si le motif recherché par limitation du droit d’accès est la protection de la personne
concernée elle-même ou des tiers.</t>
  </si>
  <si>
    <t xml:space="preserve">
Lorsqu’il y a plusieurs responsables du traitement des données à caractère personnel ou
lorsque le traitement est effectué par un sous-traitant, le droit d’accès est exercé auprès de
chacun d’eux.</t>
  </si>
  <si>
    <t xml:space="preserve">
Le responsable du traitement automatisé des données à caractère personnel et le sous-traitant
doivent mettre en oeuvre les moyens techniques nécessaires pour permettre à la personne
concernée, à ses héritiers ou à son tuteur l’envoi par voie électronique de sa demande de
rectification, de modification, de correction, ou d’effacement des données à caractère
personnel.</t>
  </si>
  <si>
    <t xml:space="preserve">
En cas de litige sur l’exactitude des données à caractère personnel, le responsable du
traitement et le sous-traitant doivent mentionner l’existence de ce litige jusqu’à ce qu’il y soit
statué.</t>
  </si>
  <si>
    <t xml:space="preserve">
Il est interdit de communiquer des données à caractère personnel aux tiers sans le
consentement exprès donné par n’importe quel moyen laissant une trace écrite, de la personne
concernée, de ses héritiers ou de son tuteur sauf si ces données sont nécessaires à l’exercice des
missions confiées aux autorités publiques dans le cadre de la sécurité publique ou de la défense
nationale, ou s’avèrent nécessaires à la mise en oeuvre des poursuites pénales ou à l’exécution
des missions dont elles sont investies conformément aux lois et règlements en vigueur.
L’Instance peut autoriser la communication des données à caractère personnel en cas du refus,
écrit et explicite, de la personne concernée, de ses héritiers ou de son tuteur lorsqu’une telle
communication s’avère nécessaire pour la réalisation de leurs intérêts vitaux, ou pour
l’accomplissement des recherches et études historiques ou scientifiques, ou encore en vue de
l’exécution d’un contrat auquel la personne concernée est partie, et ce, à condition que la
personne à qui les données à caractère personnel sont communiquées s’engage à mettre en
oeuvre toutes les garanties nécessaires à la protection des données et des droits qui s’y
rattachent conformément aux directives de l’instance, et d’assurer qu’elles ne seront pas
utilisées à des fins autres que celle pour lesquelles elles ont été communiquées.
Lorsque la personne concernée est un enfant, les dispositions de l’article 28 de la présente loi
s’appliquent.</t>
  </si>
  <si>
    <t xml:space="preserve">
Les données à caractère personnel traitées pour des finalités particulières peuvent être
communiquées en vue d’être traitées une autre fois pour des fins historiques ou scientifiques, à
condition d’obtenir le consentement de la personne concernée, de ses héritiers ou de son tuteur,
ainsi que l’autorisation de l’Instance Nationale de Protection des Données à Caractère
Personnel.
L’Instance décide, selon les cas, de supprimer les données susceptibles d’identifier la
personne concernée ou de les laisser.
Lorsque la personne concernée est un enfant, les dispositions de l’article 28 de la présente loi
s’appliquent.</t>
  </si>
  <si>
    <t xml:space="preserve">
Le transfert vers un autre pays des données personnelles faisant l’objet d’un traitement ou
destinées à faire l’objet d’un traitement, ne peut avoir lieu que si ce pays assure un niveau de
protection adéquat apprécié au regard de tous les éléments relatifs à la nature des données à
transférer, aux finalités de leur traitement, à la durée du traitement envisagé, et le pays vers
lequel les données vont être transférées ainsi que les précautions nécessaires mises en oeuvre
pour assurer la sécurité des données. Dans tous les cas, le transfert des données à caractère
personnel doit s’effectuer conformément aux conditions prévues par la présente loi.</t>
  </si>
  <si>
    <t xml:space="preserve">
Dans tous les cas, l’obtention de l’autorisation de l’Instance pour effectuer le transfert des
données à caractère personnel vers l’étranger est obligatoire.
L’Instance doit statuer sur la demande d’autorisation dans un délai maximum d’un mois à
partir de la présentation de la demande.
Lorsque les données à caractère personnel à transférer concernent un enfant, la demande est
présentée au juge de la famille.</t>
  </si>
  <si>
    <t xml:space="preserve">
Les personnes mentionnées à l’article 53 de la présente loi doivent rectifier, compléter,
modifier, ou mettre à jour les fichiers dont elles disposent, ainsi que l’effacement des données à
caractère personnel contenues dans ces fichiers si la personne concernée, le tuteur ou les
héritiers a signalé par n’importe quel moyen laissant une trace écrite, l’inexactitude ou
l’insuffisance de ces données.</t>
  </si>
  <si>
    <t xml:space="preserve">
Les personnes mentionnées à l’article 53 de la présente loi doivent détruire les données à
caractère personnel si le délai de leur conservation déterminé par les lois spécifiques a expiré
ou si le but pour lequel elles ont été collectées à été réalisé. Il en est de même si les dites
données ne sont plus nécessaires à l’activité poursuivie selon les lois en vigueur. Un procèsverbal
administratif est dressé.</t>
  </si>
  <si>
    <t xml:space="preserve">
Le traitement des données à caractère personnel relatives à la santé ne peut être mis en oeuvre
que par des médecins ou des personnes soumises, en raison de leur fonction, à l’obligation de
garder le secret professionnel.
Les médecins peuvent communiquer les données à caractère personnel en leur possession à
des personnes ou des établissements, et sur la base d’une autorisation de l’Instance Nationale
de Protection des Données à Caractère Personnel.
L’instance doit statuer sur la demande d’autorisation dans un délai maximum d’un mois à
compter de la date de la présentation de la demande.</t>
  </si>
  <si>
    <t xml:space="preserve">
Le traitement ne peut dépasser la durée nécessaire pour la réalisation du but pour lequel il est
effectué.</t>
  </si>
  <si>
    <t xml:space="preserve">
Les données à caractère personnel collectées ou enregistrées aux fins de la recherche
scientifique ne peuvent être traitées ou utilisées qu’à des fins de recherche scientifique.</t>
  </si>
  <si>
    <t xml:space="preserve">
Les données à caractère personnel ne doivent pas contenir des éléments susceptibles de
révéler l’identité de la personne concernée lorsque les exigences de la recherche scientifique
le permettent. Les données concernant la situation d’une personne physique identifiée ou
identifiable doivent être enregistrées distinctement et ne peuvent être rassemblées avec les
données concernant la personne que si elles s’avèrent nécessaires à des fins de recherche.</t>
  </si>
  <si>
    <t xml:space="preserve">
La diffusion des données à caractère personnel faisant l’objet d’un traitement dans le cadre de
la recherche scientifique ne peut avoir lieu que lorsque la personne concernée, ses héritiers ou
son tuteur, ont donné leur consentement exprès par n’importe quel moyen laissant une trace
écrite, ou lorsque cette diffusion s’avère nécessaire pour la présentation des résultats de
recherche relatifs à des événements ou des phénomènes existant au moment de ladite
présentation.
Lorsque la personne concernée est un enfant, les dispositions de l’article 28 de la présente loi
s’appliquent.</t>
  </si>
  <si>
    <t xml:space="preserve">
Sous réserve de la législation en vigueur, L’utilisation des moyens de vidéo-surveillance est
soumise à une autorisation préalable de l’Instance Nationale de Protection des Données à
Caractère Personnel.
L’Instance doit statuer sur la demande d’autorisation dans un délai maximum d’un mois à
partir de la date de la présentation de ladite demande</t>
  </si>
  <si>
    <t xml:space="preserve">
Les moyens de surveillance mentionnés à l’article précédent ne peuvent être utilisés que dans
les lieux suivants :
1/ Les lieux ouverts au public et leurs entrées,
2/ Les parkings, les moyens de transport public, les stations, les ports maritimes et les
aéroports.
3/ Les lieux de travail collectifs.</t>
  </si>
  <si>
    <t xml:space="preserve">
Les moyens de vidéo-surveillance mentionnés à l’article précédent ne peuvent être utilisés
dans les lieux indiqués dans l’article précédent que s’ils sont nécessaires pour assurer la
sécurité des personnes, la prévention des accidents, la protection des biens ou l’organisation de
l’entrée et de la sortie de ces espaces.
Dans tous les cas, les enregistrements vidéo ne peuvent être accompagnés d’enregistrements
sonores.</t>
  </si>
  <si>
    <t xml:space="preserve">
Le public doit être informé d’une manière claire et permanente de l’existence de moyens de
vidéo-surveillance.</t>
  </si>
  <si>
    <t xml:space="preserve">
Il est interdit de communiquer les enregistrements vidéo collectés à des fins de surveillance
sauf dans les cas suivants :
1/ Lorsque la personne concernée, ses héritiers ou son tuteur, ont donné leur consentement.
Lorsque la personne concernée est un enfant, les dispositions de l’article 28 de la présente loi
s’appliquent.
2/ Lorsque la communication est nécessaire à l’exercice des missions dévolues aux autorités
publiques.
3/ Lorsque la communication s’avère nécessaire pour la constatation, la découverte ou la
poursuite d’infractions pénales.</t>
  </si>
  <si>
    <t xml:space="preserve">
Les enregistrements vidéo doivent être détruits lorsqu’ils ne sont plus nécessaires à la
réalisation des finalités pour lesquelles ils ont été effectués ou lorsque l’intérêt de la personne
concernée exige sa suppression à moins que ces enregistrements ne s’avèrent utiles pour la
recherche et les poursuites d’infractions pénales</t>
  </si>
  <si>
    <t>Loi n° 2004-575 du 21 juin 2004 pour la confiance dans l'économie numérique (1).</t>
  </si>
  <si>
    <t>Art 23 1.
Chaque État membre veille à ce que les entités essentielles et importantes notifient, sans retard injustifié, à son CSIRT ou, selon le cas, à son autorité compétente, conformément au paragraphe 4, tout incident ayant un impact important sur leur fourniture des services visés au paragraphe 3 (ci-après dénommé «incident important»). Le cas échéant, les entités concernées notifient, sans retard injustifié, aux destinataires de leurs services les incidents importants susceptibles de nuire à la fourniture de ces services. Chaque État membre veille à ce que ces entités signalent, entre autres, toute information permettant au CSIRT ou, le cas échéant, à l’autorité compétente de déterminer si l’incident a un impact transfrontière. Le simple fait de notifier un incident n’accroît pas la responsabilité de l’entité qui est à l’origine de la notification.
Lorsque les entités concernées notifient un incident important à l’autorité compétente en application du premier alinéa, l’État membre veille à ce que cette autorité compétente transmette la notification au CSIRT dès qu’elle la reçoit.
En cas d’incident important transfrontière ou transsectoriel, les États membres veillent à ce que leurs points de contact uniques reçoivent en temps utile les informations notifiées conformément au paragraphe 4.
2.
Le cas échéant, les États membres veillent à ce que les entités essentielles et importantes communiquent, sans retard injustifié, aux destinataires de leurs services qui sont potentiellement affectés par une cybermenace importante toutes les mesures ou corrections que ces destinataires peuvent appliquer en réponse à cette menace. Le cas échéant, les entités informent également ces destinataires de la cybermenace importante elle-même soumettent au CSIRT ou, selon le cas, à l’autorité compétente:
a)
sans retard injustifié et en tout état de cause dans les 24 heures après avoir eu connaissance de l’incident important, une alerte précoce qui, le cas échéant, indique si l’on suspecte l’incident important d’avoir été causé par des actes illicites ou malveillants ou s’il pourrait avoir un impact transfrontière;
b)
sans retard injustifié et en tout état de cause dans les 72 heures après avoir eu connaissance de l’incident important, une notification d’incident qui, le cas échéant, met à jour les informations visées au point a) et fournit une évaluation initiale de l’incident important, y compris de sa gravité et de son impact, ainsi que des indicateurs de compromission, lorsqu’ils sont disponibles;
c)
à la demande d’un CSIRT ou, selon le cas, de l’autorité compétente, un rapport intermédiaire sur les mises à jour pertinentes de la situation;
d)
un rapport final au plus tard un mois après la présentation de la notification d’incident visée au point b), comprenant les éléments suivants:
i)
une description détaillée de l’incident, y compris de sa gravité et de son impact;
ii)
le type de menace ou la cause profonde qui a probablement déclenché l’incident;
iii)
les mesures d’atténuation appliquées et en cours;
iv)
le cas échéant, l’impact transfrontière de l’incident;
e)</t>
  </si>
  <si>
    <t>Décret-loi n° 2022-54 du 13 septembre 2022, relatif à la lutte contre les infractions se rapportant aux systèmes d’information et de communication</t>
  </si>
  <si>
    <t>Les formulaires doivent inclure des informations précises sur les finalités, les catégories de données, les destinataires, etc.</t>
  </si>
  <si>
    <t>Toute opération de traitement doit faire l’objet d’une déclaration préalable auprès de l’INPDP. L’absence d’opposition sous un mois vaut acceptation tacite.</t>
  </si>
  <si>
    <t>Certains traitements nécessitent une autorisation formelle contenant des informations détaillées sur le traitement, les personnes concernées, les finalités, la sécurité, etc.</t>
  </si>
  <si>
    <t>Le traitement doit respecter la dignité, la vie privée et les libertés publiques, sans porter atteinte à la réputation ou aux droits des personnes.</t>
  </si>
  <si>
    <t>Les données doivent être traitées loyalement, exactes, pertinentes, et mises à jour.</t>
  </si>
  <si>
    <t>Un changement de finalité nécessite le consentement, la sauvegarde d’un intérêt vital ou un but scientifique.</t>
  </si>
  <si>
    <t>Interdiction du traitement de données sensibles (origine raciale, religion, santé, opinions) sauf exceptions (consentement, intérêt vital, etc.).</t>
  </si>
  <si>
    <t>Ces traitements nécessitent une autorisation de l’INPDP, sauf pour les données de santé.</t>
  </si>
  <si>
    <t>Il est interdit de lier un service à l’acceptation du traitement des données pour une autre finalité.</t>
  </si>
  <si>
    <t xml:space="preserve">	Obligation de protéger les données contre l’accès non autorisé.</t>
  </si>
  <si>
    <t>Détails des mesures de sécurité obligatoires pour éviter les accès, modifications ou fuites non autorisés.</t>
  </si>
  <si>
    <t>Le sous-traitant doit être choisi avec soin et respecter la loi. Responsabilité conjointe avec le responsable du traitement.</t>
  </si>
  <si>
    <t>Obligation de corriger ou effacer les données inexactes et d’en informer les personnes concernées.</t>
  </si>
  <si>
    <t>Le responsable du traitement, ses agents et sous-traitants doivent être tunisiens, résidents, sans casier judiciaire.</t>
  </si>
  <si>
    <t>Obligation de confidentialité même après la fin du traitement sauf exceptions prévues par la loi.</t>
  </si>
  <si>
    <t>Obligation d’informer l’INPDP 3 mois avant la cessation d’activité. En cas de décès/faillite, les ayants droit doivent informer l’Instance.</t>
  </si>
  <si>
    <t>Le consentement exprès et écrit est requis, sauf cas prévus. Rétractation possible à tout moment.</t>
  </si>
  <si>
    <t>Le traitement des données d’un enfant nécessite le consentement du tuteur + autorisation du juge de la famille.</t>
  </si>
  <si>
    <t>Le consentement est spécifique à une forme ou finalité. Utilisation à des fins publicitaires interdite sans autorisation spéciale.</t>
  </si>
  <si>
    <t>Art. 32</t>
  </si>
  <si>
    <t>Art. 46</t>
  </si>
  <si>
    <t>Art. 51</t>
  </si>
  <si>
    <t>Art. 52</t>
  </si>
  <si>
    <t>Art. 55</t>
  </si>
  <si>
    <t>Art 7</t>
  </si>
  <si>
    <t xml:space="preserve"> Tout exploitant d'un système informatique ou
réseau, qu'il soit organisme public ou privé, doit informer
immédiatement l'agence nationale de la sécurité
informatique de toutes attaques, intrusions et autres
perturbations susceptibles d'entraver le fonctionnement d'un
autre système informatique ou réseau, afin de lui permettre
de prendre les mesures nécessaires pour y faire face.
L'exploitant est tenu de se conformer aux mesures
arrêtées par l'agence nationale de la sécurité informatique
pour mettre fin à ces perturbations</t>
  </si>
  <si>
    <t xml:space="preserve">
Sous réserve des exceptions prévues aux articles 3 et 5 de la présente loi, les organismes publics et privés doivent permettre à l'agence nationale de la sécurité
informatique et aux experts qui seront chargés de l'opération d'audit, de consulter tous les documents et dossiers relatifs à la sécurité informatique afin d'accomplir
leurs missions.</t>
  </si>
  <si>
    <t>Dans le cas où les organismes prévus à l'article 5 de la présente loi n'effectuent pas l'audit obligatoire périodique, L'agence nationale de la sécurité informatique
avertit l'organisme concemé qui devra effectuer l'audit dans un délai ne dépassant pas un mois à partir de la date de cet avertissement.
À l'expiration de ce délai sans résultat, l'agence est tenue de désigner, aux frais de l'organisme contrevenant, un expert qui sera chargé de l'audit sus-indiquée.</t>
  </si>
  <si>
    <t>Sont soumis à un système d’audit obligatoire et périodique les systèmes d’information et les réseaux relevant des organismes publics et privés suivants :
̶ Les opérateurs de réseaux publics de télécommunications et les fournisseurs des services de télécommunications et d'internet,
̶ Les entreprises dont les réseaux informatiques sont interconnectés à travers des réseaux de télécommunications,
̶ Les fournisseurs des services d’hébergement et d’informatique en nuages.
̶ Les entreprises qui procèdent au traitement automatisé des données personnelles de leurs usagers dans le cadre de la fourniture de leurs services à travers les réseaux de télécommunications.
̶ Les infrastructures numériques d’importance vitale
Les critères techniques d'audit et les modalités de suivi de la mise en oeuvre des recommandations contenues dans le rapport d'audit sont fixés par arrêté du ministre chargé des technologies de la communication.</t>
  </si>
  <si>
    <t>Art 14</t>
  </si>
  <si>
    <t>Art 15</t>
  </si>
  <si>
    <t>Art 16</t>
  </si>
  <si>
    <t>Art 17</t>
  </si>
  <si>
    <t>Art 19</t>
  </si>
  <si>
    <t>Art 20</t>
  </si>
  <si>
    <t>Art 22</t>
  </si>
  <si>
    <t>Art 23</t>
  </si>
  <si>
    <t>Art 24</t>
  </si>
  <si>
    <t>Art 25</t>
  </si>
  <si>
    <t>L'opération d'audit obligatoire de sécurité des systèmes d’information est effectuée par des experts exerçant leurs activités conformément à la législation en vigueur de manière périodique une fois au moins tous les douze (12) mois.
L’Agence publie et met à jour la liste des experts et des organismes autorisés à exercer l’activité d’audit dans le domaine de la sécurité cybernétique.</t>
  </si>
  <si>
    <t xml:space="preserve"> L’Agence, sur demande du développeur ou de l'importateur, attribue le label « sécurisé » à chaque logiciel ou équipement électronique
La demande du label est facultative et basée sur un rapport d’audit de sécurité détaillé présenté par les experts-auditeurs exerçant leurs activités conformément à la législation en vigueur.</t>
  </si>
  <si>
    <t xml:space="preserve"> Le label « Sécurisé » délivré au logiciel ou équipement électronique est renouvelé tous les trois (3) ans, et il peut être retiré avant l’expiration de la durée de la validité en cas de modification des caractéristiques techniques ou survenance de changement technologique qui introduit des failles au logiciel ou équipement électronique.
Les procédures et conditions d’octroi du label « sécurisé » et de son retrait seront fixées par arrêté du ministre chargé des technologies de la communication.
L’Agence est chargée de tenir et publier un registre national des logiciels et équipements électroniques ayant obtenu le label « sécurisé », qui sera mis à jour périodiquemen</t>
  </si>
  <si>
    <t xml:space="preserve"> Les organismes visés à l'article 6 du présent décret-loi sont tenus d'héberger les systèmes et services électroniques gouvernementaux auprès des fournisseurs de services informatique en nuage ayant obtenu le label conformément aux conditions techniques mentionnées à l’arrêté cité à l’article 12 du présent décret-loi.</t>
  </si>
  <si>
    <t xml:space="preserve"> Les organismes cités à l’article 6 du présent décret-loi sont soumis à un système de classification obligatoire et périodique.
L’Agence classe les organismes concernés selon le degré de confiance numérique en trois (03) niveaux comme suit :
̶ Premier niveau : organisme classifié premier degré.
̶ Deuxième niveau : organisme classifié deuxième degré.
̶ Troisième niveau : organisme non classifié.
Les niveaux de classifications sont déterminés en fonction des critères suivants :
̶ L’engagement de l’organisme de l’audit obligatoire de sécurité des systèmes d’information et le degré de son application des recommandations qui en découlent.
̶ L’utilisation de l’organisme d’équipements et solutions homologués selon la législation en vigueur.
̶ L’hébergement de l’organisme de ses systèmes auprès d’un fournisseur de service d’hébergement classé conformément aux dispositions de l’article 8 du présent décret-loi.
Les procédures et mécanismes de classification des organismes indiqués à l’article 6 du présent décret-loi et sa publication sont fixés par arrêté du ministre chargé des technologies de la communication.</t>
  </si>
  <si>
    <t xml:space="preserve"> Les organismes mentionnées à l'article 6 du présent décret-loi sont tenues de créer leurs propres centres de réponse aux urgences ou d’adhérer à des centres de réponse aux urgences cybernétiques publics ou sectoriels ou privés.
Les centres de réponse aux urgences cybernétiques doivent obligatoirement coordonner avec le point de contact national mentionné au dernier alinéa de l’article 18 du présent décret-loi.</t>
  </si>
  <si>
    <t xml:space="preserve"> Les organismes mentionnés à l'article 6 du présent décret-loi informent immédiatement le point de contact national pour la réponse aux urgences cybernétiques ou le centre de réponse aux urgences cybernétiques des incidents et des attaques cybernétiques et doivent se conformer aux mesures urgentes arrêtées par ces derniers.</t>
  </si>
  <si>
    <t xml:space="preserve"> Les structures qui gèrent des infrastructures numériques d’importance vitale sont tenues de prendre les mesures de sécurité suivantes :
̶ Utiliser des logiciels et équipements ayant le label « sécurisé ».
̶ Avoir son propre centre d'hébergement principal et un centre de backup auprès d’un fournisseur de services informatique en nuage ayant obtenu le label.
̶ Respecter les mesures et les procédures nécessaires pour assurer la continuité d'activité et protéger les bases de données sensibles dont l'atteinte à l'intégrité pourrait affecter à la sécurité nationale en cas de crise cybernétique, et ce selon un manuel de procédure approuvé par décret sur proposition du ministre chargé des technologies de la communication.</t>
  </si>
  <si>
    <t>Les infractions aux dispositions du présent décret-loi sont constatées, sur la base d'un rapport de l'Agence adressé au ministre chargé des
technologies de la communication, par des procèsverbaux dressés par deux des agents suivants :
 Les officiers de police judiciaire visés aux
numéros 3 et 4 de l'article 10 du code de procédure
pénale.
 Les agents assermentés du ministère chargé
des technologies de la communication.
 Les Agents assermentés du ministère de
l'intérieur.
Les procès-verbaux sont transmis au ministre chargé des technologies de la communication qui les transmet, pour poursuite, au procureur de la
République territorialement compétent</t>
  </si>
  <si>
    <t>Le ministre chargé des technologies de la communication peut, sur rapport motivé de l’Agence, dégrader les organismes mentionnés à l'article 6 duprésent décret-loi, et classés aux premier et deuxième
niveaux, et ce dans les cas suivants :
 La non-réalisation de l’audit obligatoire et
périodique de sécurité des systèmes d’information.
 Le défaut de remise à l'Agence d'une copie
électronique protégée du rapport d'audit dans le délai
mentionné à l'article 8 du présent décret-loi.
 La non-exécution des recommandations du
rapport d'audit ou leur exécution partielle dans un
délai n'excédant pas une année.
 Le non-respect des mesures d'urgence
prescrites par le point de contact national pour la
réponse aux urgences cybernétiques ou les centres de
réponse aux urgences cybernétiques suite à la
survenance d'un incident ou d'une attaque
cybernétique.
 Le non-relève des défaillances dans le délai
mentionné à l'article 17 du présent décret-loi.
 La non-création d’un centre de réponse aux
urgences cybernétiques ou la non-adhésion aux
centres de réponse aux urgences cybernétiques.
 Le non-respect du référentiel mentionné à
l'article 14 du présent décret-loi.</t>
  </si>
  <si>
    <t>Est puni d’une amende de cinquante mille (50 000) dinar à cent mille (100 000) dinar les organismes mentionnés à l'article 6 du présent décretloi,
et classés au troisième niveau, et ce dans les cas suivants :
 La non-réalisation de l’audit obligatoire et
périodique de sécurité des systèmes d’information.
 La non-exécution des recommandations du
rapport d'audit ou leur exécution partielle dans un
délai n'excédant pas une année.
 Le non-respect des mesures d'urgence
prescrites par le point de contact national pour la
réponse aux urgences cybernétiques ou les centres de
réponse aux urgences cybernétiques suite à la
survenance d'un incident ou d'une attaque
cybernétique.
 Le non-relève des défaillances dans le délai
mentionné à l'article 17 du présent décret-loi.
 La non-création d’un centre de réponse aux
urgences cybernétiques ou la non adhésion aux
centres de réponse aux urgences cybernétiques.</t>
  </si>
  <si>
    <t>Art 5</t>
  </si>
  <si>
    <t>Art 21</t>
  </si>
  <si>
    <t>Art 26</t>
  </si>
  <si>
    <t>Art 27</t>
  </si>
  <si>
    <t>Art 28</t>
  </si>
  <si>
    <t>Art 29</t>
  </si>
  <si>
    <t>Art 30</t>
  </si>
  <si>
    <t>Art 32</t>
  </si>
  <si>
    <t xml:space="preserve">
Il est interdit à tout chargé de l’exécution des ordonnances judiciaires relatives à l’accès aux données stockées au niveau du système d’information ou à la collecte de données du flux de trafic ou à l’interception de communications, ou celui auquel il est fait recours pour cette tâche, de divulguer le secret professionnel dans tout ce qui concerne les dispositions et les modalités appliquées ou les informations ou données dont ils ont eu connaissance lors de l’exécution de ces ordonnances judiciaires.
Est interdite toute divulgation orale ou écrite des faits et informations ou leur échange en dehors du cadre des missions techniques restreintes ainsi que le transfert de ces faits et informations, ou leur transmission à autrui ou leur mise à la disposition de ceux qui n’ont pas la qualité.
Le chargé de l’exécution des ordonnances judiciaires ou celui auquel il est fait recours pour cette tâche, demeure tenu à la non-divulgation du secret professionnel, lors de l’exercice de ses fonctions ou après cessation de ses fonctions de quelque manière que ce soit. L’interdiction de divulgation du secret professionnel ne peut être levée que sur ordonnance judiciaire.</t>
  </si>
  <si>
    <t>Dans le cadre de leurs obligations d’assurer les exigences de la sureté publique, de la défense nationale et les dispositions du pouvoir judiciaire, les fournisseurs de services de communication, doivent répondre aux demandes des services chargés de la réception et de l’exécution des ordonnances judiciaires relatifs à l’accès aux données stockées dans un système d’information ou à la collecte de données du flux des communication ou de leur interception liées à l’accomplissement de leurs tâches.
L’autorité chargée de l’exécution des ordonnances judiciaires est tenue de rédiger un procès-verbal des opérations d’accès ou de collecte ou d’interception ou de traitement qu’elle a réalisé. Ce procès-verbal doit obligatoirement comporter les indications suivantes:
Le dispositif de l’ordonnance dont elle est chargée de son exécution.
L’autorité qui a ordonné le traitement technique.
Les dispositions techniques qu’elle a pris afin d’exécuter l’ordonnance et le type d’assistance qu’elle a eu des fournisseurs de services.
Les mesures techniques prises pour conserver les données collectées et assurer leur authenticité et leur intégrité dans toutes les étapes.
La date et l’heure du début et de la fin des opérations.
Le procès-verbal doit être accompagné par les résultats des opérations d’accès, de collecte, d’interception ou de traitement aussi bien que par les programmes et les données techniques nécessaires qui assurent leur conservation et leur exploitation sans atteinte à leur authenticité et leur intégrité.</t>
  </si>
  <si>
    <t>Est puni de trois mois jusqu’à un an d’emprisonnement et d’une amende de dix mille dinars, quiconque sciemment accède ou demeure illégalement dans un système informatique en totalité ou en partie.
Est passible de la même peine encourue, quiconque sciemment dépasse les limites du droit d’accès qui lui est accordé.
La tentative est punissable.</t>
  </si>
  <si>
    <t xml:space="preserve"> Est puni de trois ans d’emprisonnement et d’une amende de vingt mille dinars, quiconque sciemment produit, vend, importe, distribue, approvisionne, expose, obtient pour usage ou possède ce qui suit, et ce illégalement ou en dehors des cas où la nécessité de la recherche scientifique ou la sécurité informatique l’exige :
Un équipement ou un programme informatique conçu ou apprivoisé pour commettre les infractions régies par le présent décret-loi.
Un mot de passe, un code d’accès ou toutes données informatiques similaires permettant d’accéder, en totalité ou en partie, à un système d’informations en vue de commettre les infractions régies par le présent décret-loi.
La tentative est punissable.</t>
  </si>
  <si>
    <t>Est puni de trois ans d’emprisonnement et d’une amende de vingt mille dinars, quiconque endommage, modifie, supprime, annule ou détruit sciemment des données informatiques.
La tentative est punissable.</t>
  </si>
  <si>
    <t xml:space="preserve"> Est puni de trois ans d’emprisonnement et d’une amende de trente mille dinars, quiconque entrave sciemment et d’une manière illégale le fonctionnement d’un système informatique, en y introduisant des données informatiques ou les envoyées, les endommagées, les modifiées, les supprimées, les annulées, les détruire, ou en y utilisant d’autres moyen électronique.
La tentative est punissable.</t>
  </si>
  <si>
    <t xml:space="preserve"> Est puni de cinq ans d’emprisonnement et d’une amende de trente mille dinars, quiconque aura délibérément détourné des données informatiques appartenant à autrui.
La tentative est punissable.</t>
  </si>
  <si>
    <t xml:space="preserve"> Est puni de six ans d’emprisonnement et d’une amende de cent mille dinars quiconque cause intentionnellement un préjudice patrimonial à autrui par introduction, altération, effacement ou suppression de données informatiques ou par toute forme d’atteinte au fonctionnement d’un système informatique, dans l’intention d’obtenir un bénéfice financier ou économique pour soi-même ou pour autrui.</t>
  </si>
  <si>
    <t xml:space="preserve"> Est puni de cinq ans d’emprisonnement et d’une amende de cent mille dinars quiconque commis une falsification pouvant causer un préjudice par l’introduction, l’altération, l’effacement ou la suppression de données informatiques, engendrant la production des données non authentiques, dans l’intention de l’exploiter comme si elles étaient authentiques</t>
  </si>
  <si>
    <t xml:space="preserve"> Sous réserve des peines prévues par des textes spéciaux, est puni d’un mois à un an d’emprisonnement et d’une amende de cinquante mille dinars, ou de l’une des deux peines, quiconque utilise intentionnellement des systèmes d’informations et de communication pour violer les droits d’auteur et les droits voisins sans obtenir une autorisation de ou des ayants droit dans le but d’en tirer profit ou de porter préjudice à l’économie ou aux droits d’autrui.</t>
  </si>
  <si>
    <t xml:space="preserve"> Sous réserve des législations spécifiques, est puni d’une peine d’emprisonnement de six ans et une amende de cinquante mille dinars, quiconque produit, affiche, fournit, publie, envoie, obtient ou détient intentionnellement des données informatiques à contenu pornographique montrant un enfant ou une personne ayant l’apparence d’un enfant s’adonnant à des pratiques sexuelles explicites ou suggestives ou en être victime.
Est passible des mêmes peines prévues par le premier alinéa du présent article, quiconque aura utilisé intentionnellement des systèmes d’information pour publier ou diffuser des images ou des séquences vidéo d’agressions physiques ou sexuelles sur autrui.</t>
  </si>
  <si>
    <t xml:space="preserve"> Est puni d’un an d’emprisonnement et d’une amende de dix mille dinars, ou de l’une de ces deux peines, le fournisseur de services qui ne respecte pas l’obligation de conservation qui lui incombe en vertu des dispositions de l’article 6 du présent décret-loi.</t>
  </si>
  <si>
    <t>Sous réserve des dispositions de l’article 32 du code pénal, est passible d’un an d’emprisonnement et d’une amende de dix mille dinars, quiconque entrave sciemment le déroulement de l’investigation, en refusant de remettre des données informatiques ou les moyens à y accéder pour lire ou comprendre les données saisies, ou qui les détruit ou les cache délibérément avant leur confiscation.</t>
  </si>
  <si>
    <t>Est puni de trois ans d’emprisonnement et d’une amende de vingt mille dinars, quiconque aura intentionnellement, et de quelque manière que ce soit, violé la confidentialité des procédures se rapportant à la collecte, à l’interception ou à l’enregistrement des données du flux de trafic ou de son contenu, ou à la divulgation des données obtenues ou à leur utilisation illicite.</t>
  </si>
  <si>
    <t>Est puni de trois ans d’emprisonnement et d’une amende de dix mille dinars, quiconque aura intentionnellement accédé à des données stockées dans un système d’information, collecté des données sur le flux de trafic ou intercepté le contenu des communications, les copiés ou les enregistrés dans des cas autres que ceux autorisés par le présent décret-loi ou sans respect des obligations légales.
La tentative est punissable.</t>
  </si>
  <si>
    <t xml:space="preserve"> Les sanctions pécuniaires prévues par le présent décret-loi s’appliquent aux personnes morales s’il s’avère que les infractions ont été commises à leur profit, qu’elles en ont obtenu des revenus ou qu’elles représentaient le but de leur création.
La sanction sera une amende cinq fois égale à la valeur de l’amende encourue pour les personnes physiques.
La juridiction peut également ordonner la privation de la personne morale d’exercer ses activités pour une durée maximale de cinq ans, ou ordonner sa dissolution.
Cela n’empêche pas d’infliger des sanctions prévues par le présent décret-loi aux représentants ou gérants des personnes morales dont il est prouvé qu’ils sont personnellement responsables des actes punissables.</t>
  </si>
  <si>
    <t xml:space="preserve">Tout développeur ou importateur de logiciel ou d’équipement électronique souhaitant obtenir le label « sécurisé » doit déposer une demande à l’Agence Nationale de la Cybersécurité par lettre recommandée ou par voie électronique avec un accusé de réception ou directement à l’agence sous pli fermé contre récépissé de dépôt. La demande doit obligatoirement inclure : - Une fiche signalétique portant le nom commercial ou l'identifiant descriptif du logiciel ou de l'équipement électronique, la date de production et le code de la version présentée pour évaluation et les domaines d'utilisation, - Documents prouvant la propriété ou le droit de commercialisation ou d'exploitation au niveau national, - La charte professionnelle, disponible chez les services de l’agence, dument signée par le développeur ou l’importateur du logiciel ou de l’équipement électronique sujet de la demande du label « sécurisé »,   - Une copie du logiciel ou un échantillon de l'appareil électronique sujet de l’évaluation,  - Documents décrivant les fonctions essentielles et les fonctionnalités de sécurité à évaluer, - Un rapport détaillé d'audit de sécurité élaboré par des experts-auditeurs exerçant leur activité conformément à la législation en vigueur, démontrant que le logiciel ou l'équipement électronique est exempt de vulnérabilités qui menacent la sécurité des données, des utilisateurs et des systèmes associés, et est établi conformément à la méthodologie, le modèle et les normes techniques définies par l'Agence dans un référentiel,  - Une copie des certificats obtenus par le logiciel ou l'appareil électronique auprès de structures de certification, compétentes similaires et nationales ou internationales, le cas échéant. L’Agence peut demander tout documents supplémentaires nécessaires pour l’étude du dossier ou de vérifier le code source du logiciel ou les interfaces de programmation d’application adoptées. </t>
  </si>
  <si>
    <t xml:space="preserve">Les demandes d'obtention du « sécurisé » sont examinées par une commission technique présidée par le directeur général de l'Agence Nationale de la Cybersécurité ou son représentant et composée de membres de : - Centre d'Etudes et de Recherche des Télécommunications, - Agence Nationale des Fréquences, - Agence Nationale de Certification Electronique, - Agence Technique des Télécommunications. La commission technique se réunit sur convocation de son président chaque fois que nécessaire pour étudier les demandes, émettre un avis sur les aspects techniques et vérifier le respect du logiciel ou de l’appareil électronique, objet de l’évaluation, des textes juridiques et des guides de procédure relatifs à la cybersécurité. La commission technique ne peut se réunir légalement qu’en présence de la majorité de ses membres. Elle émet ses avis à la majorité des voix des membres présents. En cas d’égalité des voix, celle du président est prépondérante. Journal Officiel de la République Tunisienne — 14 septembre 2023 N° 105  Page 2250 Dans le cas où le quorum n’est pas atteint, les membres de la commission seront convoqués pour une deuxième réunion trois (3) jours après la date de la première, dans ce cas, la commission se réunit quel que soit le nombre des membres présents et ses travaux sont consignés par des procès-verbaux. L’Agence Nationale de la Cybersécurité assure le secrétariat permanant de cette commission. </t>
  </si>
  <si>
    <t xml:space="preserve"> Le certificat du label « sécurisé » attribué au logiciel ou à l’équipement électronique comprend : - Le nom commercial ou l'identifiant descriptif du logiciel ou de l'équipement électronique, la date de production et le code de la version du produit labélisé,  - Le nom du développeur ou de la structure importatrice du logiciel ou de l’équipement électronique labélisé, - La date de délivrance et la durée de validité du certificat, - - Identifiant unique du certificat attribué, Le cachet électronique visuel protégeant le document conformément à la législation en vigueur</t>
  </si>
  <si>
    <t xml:space="preserve"> Le développeur ou l'importateur est tenu d'informer l'agence de tout changement apporté au logiciel ou à l'appareil électronique portant le label « sécurisé ». L'agence peut également procéder au contrôle du produit labélisé et vérifier dans quelle mesure il respecte les exigences de sécurité. </t>
  </si>
  <si>
    <t>Art. 6</t>
  </si>
  <si>
    <t>Si un organisme ne réalise pas l’audit obligatoire, l’ANSI l’en avertit. Il dispose d’un mois pour agir. Passé ce délai, l’agence désigne un expert aux frais de l’organisme.</t>
  </si>
  <si>
    <t>Les organismes publics et privés doivent permettre à l’ANSI et aux experts d’audit d’accéder aux documents relatifs à la sécurité informatique.</t>
  </si>
  <si>
    <t>Art. 10</t>
  </si>
  <si>
    <t>Tout exploitant de système ou réseau (public ou privé) doit alerter immédiatement l’ANSI en cas d’attaque ou perturbation, et appliquer les mesures exigées par l’agence.</t>
  </si>
  <si>
    <t>Art. 5</t>
  </si>
  <si>
    <t>Art. 11</t>
  </si>
  <si>
    <t>Art. 20</t>
  </si>
  <si>
    <t>Art. 22</t>
  </si>
  <si>
    <t>Art. 23</t>
  </si>
  <si>
    <t>Art. 24</t>
  </si>
  <si>
    <t>Ces entités doivent : utiliser des équipements labellisés, avoir un centre principal et de secours, assurer la continuité d’activité via un manuel validé.</t>
  </si>
  <si>
    <t>Art. 21</t>
  </si>
  <si>
    <t>Art. 29</t>
  </si>
  <si>
    <t>- La direction doit approuver et superviser les mesures de cybersécurité- Responsabilité en cas de non-conformité- Formation obligatoire des dirigeants- Formation recommandée pour le personnel</t>
  </si>
  <si>
    <t>- Mise en place de mesures proportionnées, techniques, organisationnelles- Basé sur une approche "tous risques"- 10 mesures minimales exigées (voir détail)- Analyse des fournisseurs- Mesures correctives en cas de non-conformité</t>
  </si>
  <si>
    <t>- Notifier tout incident important à CSIRT ou autorité compétente- Informer les destinataires de services concernés- 4 types de rapports : alerte, notification, rapport intermédiaire, rapport final</t>
  </si>
  <si>
    <t>- États peuvent imposer des produits/processus TIC certifiés- Utilisation encouragée de services de confiance qualifiés- Actes délégués possibles par la Commission en cas de faiblesses</t>
  </si>
  <si>
    <t>- Partage volontaire d’info cybersécurité entre entités et fournisseurs- Infos partagées : menaces, tactiques, incidents, alertes, etc.- Accord de partage à notifier aux autorités</t>
  </si>
  <si>
    <t>- Inspections, audits, demandes d’informations- Sanctions : avertissements, injonctions, suspensions, amendes, etc.- Responsabilité des dirigeants possible- Droit à la défense garanti- Coopération avec d’autres directives (2557, 2554)</t>
  </si>
  <si>
    <t>Art. 12</t>
  </si>
  <si>
    <t>Art. 18</t>
  </si>
  <si>
    <t>Art. 53</t>
  </si>
  <si>
    <t>Le produit doit être conforme à l'annexe I (sécurité, cybersécurité, MAJ, etc.) et utilisé selon les instructions.</t>
  </si>
  <si>
    <t>Signaler les vulnérabilités à ENISA sous 24h après découverte.</t>
  </si>
  <si>
    <t>Art. 54</t>
  </si>
  <si>
    <t>Art. 56</t>
  </si>
  <si>
    <t>Certification volontaire sauf obligation ; le titulaire du certificat doit informer des vulnérabilités détectées et garantir conformité pendant toute la durée de validité.</t>
  </si>
  <si>
    <t>Art. 59</t>
  </si>
  <si>
    <t xml:space="preserve">
I. - L'utilisation des moyens de cryptologie est libre.</t>
  </si>
  <si>
    <t xml:space="preserve">
Gouvernance
1.
Les États membres veillent à ce que les organes de direction des entités essentielles et importantes approuvent les mesures de gestion des risques en matière de cybersécurité prises par ces entités afin de se conformer à l’article 21, supervisent sa mise en oeuvre et puissent être tenus responsables de la violation dudit article par ces entités.
L’application du présent paragraphe est sans préjudice du droit national en ce qui concerne les règles en matière de responsabilité applicables aux institutions publiques, ainsi que de responsabilité des agents de la fonction publique et des responsables élus ou nommés.
L 333/126 FR Journal officiel de l’Union européenne 27.12.2022
2.
Les États membres veillent à ce que les membres des organes de direction des entités essentielles et importantes soient tenus de suivre une formation et ils encouragent les entités essentielles et importantes à offrir régulièrement une formation similaire aux membres de leur personnel afin que ceux-ci acquièrent des connaissances et des compétences suffisantes pour déterminer les risques et évaluer les pratiques de gestion des risques en matière de cybersécurité et leur impact sur les services fournis par l’entité.
</t>
  </si>
  <si>
    <t xml:space="preserve">
Mesures de gestion des risques en matière de cybersécurité
1.
Les États membres veillent à ce que les entités essentielles et importantes prennent les mesures techniques, opérationnelles et organisationnelles appropriées et proportionnées pour gérer les risques qui menacent la sécurité des réseaux et des systèmes d’information que ces entités utilisent dans le cadre de leurs activités ou de la fourniture de leurs services, ainsi que pour éliminer ou réduire les conséquences que les incidents ont sur les destinataires de leurs services et sur d’autres services.
Les mesures visées au premier alinéa garantissent, pour les réseaux et les systèmes d’information, un niveau de sécurité adapté au risque existant, en tenant compte de l’état des connaissances et, s’il y a lieu, des normes européennes et internationales applicables, ainsi que du coût de mise en oeuvre. Lors de l’évaluation de la proportionnalité de ces mesures, il convient de tenir dûment compte du degré d’exposition de l’entité aux risques, de la taille de l’entité et de la probabilité de survenance d’incidents et de leur gravité, y compris leurs conséquences sociétales et économiques.
2.
Les mesures visées au paragraphe 1 sont fondées sur une approche «tous risques» qui vise à protéger les réseaux et les systèmes d’information ainsi que leur environnement physique contre les incidents, et elles comprennent au moins:
a)
les politiques relatives à l’analyse des risques et à la sécurité des systèmes d’information;
b)
la gestion des incidents;
c)
la continuité des activités, par exemple la gestion des sauvegardes et la reprise des activités, et la gestion des crises;
d)
la sécurité de la chaîne d’approvisionnement, y compris les aspects liés à la sécurité concernant les relations entre chaque entité et ses fournisseurs ou prestataires de services directs;
e)
la sécurité de l’acquisition, du développement et de la maintenance des réseaux et des systèmes d’information, y compris le traitement et la divulgation des vulnérabilités;
f)
des politiques et des procédures pour évaluer l’efficacité des mesures de gestion des risques en matière de cybersécurité;
g)
les pratiques de base en matière de cyberhygiène et la formation à la cybersécurité;
h)
des politiques et des procédures relatives à l’utilisation de la cryptographie et, le cas échéant, du chiffrement;
i)
la sécurité des ressources humaines, des politiques de contrôle d’accès et la gestion des actifs;
j)
l’utilisation de solutions d’authentification à plusieurs facteurs ou d’authentification continue, de communications vocales, vidéo et textuelles sécurisées et de systèmes sécurisés de communication d’urgence au sein de l’entité, selon les besoins.
3.
Les États membres veillent à ce que, lorsqu’elles examinent lesquelles des mesures visées au paragraphe 2, point d), du présent article sont appropriées, les entités tiennent compte des vulnérabilités propres à chaque fournisseur et prestataire de services direct et de la qualité globale des produits et des pratiques de cybersécurité de leurs fournisseurs et prestataires de services, y compris de leurs procédures de développement sécurisé. Les États membres veillent également à ce que, lorsqu’elles examinent lesquelles des mesures visées audit point sont appropriées, les entités soient tenues de prendre en compte les résultats des évaluations coordonnées des risques pour la sécurité des chaînes d’approvisionnement critiques, effectuées conformément à l’article 22, paragraphe 1.
4.
Les États membres veillent à ce que, lorsqu’une entité constate qu’elle ne se conforme pas aux mesures prévues au paragraphe 2, elle prenne, sans retard injustifié, toutes les mesures correctives nécessaires appropriées et proportionnées.
27.12.2022 FR Journal officiel de l’Union européenne L 333/127
5.
Au plus tard le 17 octobre 2024, la Commission adopte des actes d’exécution établissant les exigences techniques et méthodologiques liées aux mesures visées au paragraphe 2 en ce qui concerne les fournisseurs de services DNS, les registres des noms de domaine de premier niveau, les fournisseurs de services d’informatique en nuage, les fournisseurs de services de centres de données, les fournisseurs de réseaux de diffusion de contenu, les fournisseurs de services gérés, les fournisseurs de services de sécurité gérés, ainsi que les fournisseurs de places de marché en ligne, de moteurs de recherche en ligne et de plateformes de services de réseaux sociaux, et les prestataires de services de confiance.
La Commission peut adopter des actes d’exécution établissant les exigences techniques et méthodologiques ainsi que les exigences sectorielles, si nécessaire, liées aux mesures visées au paragraphe 2 concernant les entités essentielles et importantes autres que celles visées au premier alinéa du présent paragraphe.
Lorsqu’elle prépare les actes d’exécution visés aux premier et deuxième alinéas du présent paragraphe, la Commission suit, dans la mesure du possible, les normes européennes et internationales ainsi que les spécifications techniques pertinentes. La Commission échange des conseils et coopère avec le groupe de coopération et l’ENISA sur les projets d’actes d’exécution conformément à l’article 14, paragraphe 4, point e).
Ces actes d’exécution sont adoptés en conformité avec la procédure d’examen visée à l’article 39, paragraphe 2.</t>
  </si>
  <si>
    <t xml:space="preserve">
Afin de démontrer la conformité à certaines exigences visées à l’article 21, les États membres peuvent prescrire aux entités essentielles et importantes d’utiliser des produits TIC, services TIC et processus TIC particuliers qui, mis au point par l’entité essentielle ou importante ou acquis auprès de tiers, sont certifiés dans le cadre de schémas européens de certification de cybersécurité adoptés conformément à l’article 49 du règlement (UE) 2019/881. En outre, les États membres encouragent les entités essentielles et importantes à utiliser des services de confiance qualifiés.
2.
La Commission est habilitée à adopter des actes délégués, conformément à l’article 38, pour compléter la présente directive en précisant quelles catégories d’entités essentielles et importantes sont tenues d’utiliser certains produits TIC, services TIC et processus TIC certifiés ou d’obtenir un certificat dans le cadre d’un schéma européen de certification de cybersécurité adopté conformément à l’article 49 du règlement (UE) 2019/881. Ces actes délégués sont adoptés lorsque des niveaux insuffisants de cybersécurité ont été constatés et ils prévoient une période de mise en oeuvre.
Avant d’adopter de tels actes délégués, la Commission procède à une analyse d’impact et mène des consultations conformément à l’article 56 du règlement (UE) 2019/881.
L 333/130 FR Journal officiel de l’Union européenne 27.12.2022
3.
Lorsqu’il n’existe pas de schéma européen de certification de cybersécurité approprié aux fins du paragraphe 2 du présent article, la Commission peut, après consultation du groupe de coopération et du groupe européen de certification de cybersécurité, demander à l’ENISA de préparer un schéma candidat conformément à l’article 48, paragraphe 2, du règlement (UE) 2019</t>
  </si>
  <si>
    <t xml:space="preserve">
Accords de partage d’informations en matière de cybersécurité
1.
Les États membres veillent à ce que les entités relevant du champ d’application de la présente directive et, le cas échéant, les autres entités concernées ne relevant pas du champ d’application de la présente directive puissent échanger entre elles, à titre volontaire, des informations pertinentes en matière de cybersécurité, y compris des informations relatives aux cybermenaces, aux incidents évités, aux vulnérabilités, aux techniques et procédures, aux indicateurs de compromission, aux tactiques adverses, ainsi que des informations spécifiques sur les acteurs de la menace, des alertes de cybersécurité et des recommandations concernant la configuration des outils de cybersécurité pour détecter les cyberattaques, lorsque ce partage d’informations: 2.
Les États membres veillent à ce que l’échange d’informations ait lieu au sein de communautés d’entités essentielles et importantes ainsi que, le cas échéant, de leurs fournisseurs ou prestataires de services. Cet échange est mis en oeuvre au moyen d’accords de partage d’informations en matière de cybersécurité, compte tenu de la nature potentiellement sensible des informations partagées.
27.12.2022 FR Journal officiel de l’Union européenne L 333  4.
4- Les États membres veillent à ce que les entités essentielles et importantes notifient aux autorités compétentes leur participation aux accords de partage d’informations en matière de cybersécurité visés au paragraphe 2, lorsqu’elles concluent de tels accords ou, le cas échéant, lorsqu’elles se retirent de ces accords, une fois que le retrait prend effet.</t>
  </si>
  <si>
    <t xml:space="preserve">                                                                       
1.
Les États membres veillent à ce que les mesures de supervision ou d’exécution imposées aux entités essentielles à l’égard des obligations prévues par la présente directive soient effectives, proportionnées et dissuasives, compte tenu des circonstances de chaque cas.
2.
Les États membres veillent à ce que les autorités compétentes, lorsqu’elles accomplissent leurs tâches de supervision à l’égard d’entités essentielles, aient le pouvoir de soumettre ces entités à, au minimum:
a)
des inspections sur place et des contrôles à distance, y compris des contrôles aléatoires effectués par des professionnels formés;
b)
des audits de sécurité réguliers et ciblés réalisés par un organisme indépendant ou une autorité compétente;
c)
des audits ad hoc, notamment lorsqu’ils sont justifiés en raison d’un incident important ou d’une violation de la présente directive par l’entité essentielle;
d)
des scans de sécurité fondés sur des critères d’évaluation des risques objectifs, non discriminatoires, équitables et transparents, si nécessaire avec la coopération de l’entité concernée;
e)
des demandes d’informations nécessaires à l’évaluation des mesures de gestion des risques en matière de cybersécurité adoptées par l’entité concernée, notamment les politiques de cybersécurité consignées par écrit, ainsi que du respect de l’obligation de soumettre des informations aux autorités compétentes conformément à l’article 27;
f)
des demandes d’accès à des données, à des documents et à toutes informations nécessaires à l’accomplissement de leurs tâches de supervision;
g)
des demandes de preuves de la mise en oeuvre de politiques de cybersécurité, telles que les résultats des audits de sécurité effectués par un auditeur qualifié et les éléments de preuve sous-jacents correspondants.
Les audits de sécurité ciblés visés au premier alinéa, point b), sont basés sur des évaluations des risques effectuées par l’autorité compétente ou l’entité contrôlée, ou sur d’autres informations disponibles relatives aux risques.
Les résultats de tout audit de sécurité ciblé sont mis à la disposition de l’autorité compétente. Les coûts de cet audit de sécurité ciblé effectué par un organisme indépendant sont à la charge de l’entité contrôlée, sauf lorsque l’autorité compétente en décide autrement dans des cas dûment motivés.
3.
Lorsqu’elles exercent leurs pouvoirs en vertu du paragraphe 2, point e), f) ou g), les autorités compétentes mentionnent la finalité de la demande et précisent quelles sont les informations exigées.
4.
Les États membres veillent à ce que leurs autorités compétentes, lorsqu’elles exercent leurs pouvoirs d’exécution à l’égard d’entités essentielles, aient au minimum le pouvoir:
a)
d’émettre des avertissements concernant les violations de la présente directive par les entités concernées;
27.12.2022 FR Journal officiel de l’Union européenne L 333/135
b)
d’adopter des instructions contraignantes, y compris en ce qui concerne les mesures nécessaires pour éviter un incident ou y remédier, ainsi que les délais pour mettre en oeuvre ces mesures et rendre compte de cette mise en oeuvre, ou une injonction exigeant des entités concernées qu’elles remédient aux insuffisances constatées ou aux violations de la présente directive;
c)
d’ordonner aux entités concernées de mettre un terme à un comportement qui viole la présente directive et de ne pas le réitérer;
d)
d’ordonner aux entités concernées de garantir la conformité de leurs mesures de gestion des risques en matière de cybersécurité avec l’article 21 ou de respecter les obligations d’information énoncées à l’article 23, de manière spécifique et dans un délai déterminé;
e)
d’ordonner aux entités concernées d’informer les personnes physiques ou morales à l’égard desquelles elles fournissent des services ou exercent des activités susceptibles d’être affectées par une cybermenace importante de la nature de la menace, ainsi que de toutes mesures préventives ou réparatrices que ces personnes physiques ou morales pourraient prendre en réponse à cette menace;
f)
d’ordonner aux entités concernées de mettre en oeuvre les recommandations formulées à la suite d’un audit de sécurité dans un délai raisonnable;
g)
de désigner, pour une période déterminée, un responsable du contrôle ayant des tâches bien définies pour superviser le respect, par les entités concernées, des articles 21 et 23;
h)
d’ordonner aux entités concernées de rendre publics les aspects de violations de la présente directive de manière spécifique;
i)
d’imposer ou de demander aux organes compétents ou aux juridictions d’imposer, conformément au droit national, une amende administrative en vertu de l’article 34 en plus de l’une ou l’autre des mesures visées aux points a) à h) du présent paragraphe.
5.
Lorsque les mesures d’exécution adoptées en vertu du paragraphe 4, points a) à d) et point f), sont inefficaces, les États membres veillent à ce que leurs autorités compétentes aient le pouvoir de fixer un délai dans lequel l’entité essentielle est invitée à prendre les mesures nécessaires pour pallier les insuffisances ou satisfaire aux exigences de ces autorités. Si la mesure demandée n’est pas prise dans le délai imparti, les États membres veillent à ce que leurs autorités compétentes aient le pouvoir:
a)
de suspendre temporairement ou de demander à un organisme de certification ou d’autorisation, ou à une juridiction, conformément au droit national, de suspendre temporairement une certification ou une autorisation concernant tout ou partie des services pertinents fournis ou des activités pertinentes menées par l’entité essentielle;
b)
de demander aux organes compétents ou aux juridictions compétentes, conformément au droit national, d’interdire temporairement à toute personne physique exerçant des responsabilités dirigeantes à un niveau de directeur général ou de représentant légal dans l’entité essentielle d’exercer des responsabilités dirigeantes dans cette entité.
Les suspensions ou interdictions temporaires imposées au titre du présent paragraphe sont uniquement appliquées jusqu’à ce que l’entité concernée prenne les mesures nécessaires pour remédier aux insuffisances ou se conformer aux exigences de l’autorité compétente à l’origine de l’application de ces mesures d’exécution. L’imposition de ces suspensions ou interdictions temporaires est soumise à des garanties procédurales appropriées conformément aux principes généraux du droit de l’Union et à la Charte, y compris le droit à un recours effectif et à accéder à un tribunal impartial, la présomption d’innocence et les droits de la défense.
Les mesures d’exécution prévues au présent paragraphe ne peuvent pas être appliquées aux entités de l’administration publiques qui relèvent de la présente directive.
6.
Les États membres veillent à ce que toute personne physique responsable d’une entité essentielle ou agissant en qualité de représentant légal d’une entité essentielle sur la base du pouvoir de la représenter, de prendre des décisions en son nom ou d’exercer son contrôle ait le pouvoir de veiller au respect, par l’entité, de la présente directive. Les États membres veillent à ce que ces personnes physiques puissent être tenues responsables des manquements à leur devoir de veiller au respect de la présente directive.
En ce qui concerne les entités de l’administration publique, le présent paragraphe est sans préjudice du droit national en ce qui concerne la responsabilité des agents de la fonction publique et des responsables élus ou nommés.
L 333/136 FR Journal officiel de l’Union européenne 27.12.2022
7.
Lorsqu’elles prennent toute mesure d’exécution visée au paragraphe 4 ou 5, les autorités compétentes respectent les droits de la défense et tiennent compte des circonstances propres à chaque cas et, au minimum, tiennent dûment compte:
a)
de la gravité de la violation et de l’importance des dispositions enfreintes, les faits suivants, entre autres, devant être considérés en tout état de cause comme graves:
i)
les violations répétées;
ii)
le fait de ne pas notifier des incidents importants ou de ne pas y remédier;
iii)
le fait de ne pas pallier les insuffisances à la suite d’instructions contraignantes des autorités compétentes;
iv)
le fait d’entraver des audits ou des activités de contrôle ordonnées par l’autorité compétente à la suite de la constatation d’une violation;
v)
la fourniture d’informations fausses ou manifestement inexactes relatives aux mesures de gestion des risques en matière de cybersécurité ou aux obligations d’information prévues aux articles 21 et 23;
b)
de la durée de la violation;
c)
de toute violation antérieure pertinente commise par l’entité concernée;
d)
des dommages matériels, corporels ou moraux causés, y compris des pertes financières ou économiques, des effets sur d’autres services et du nombre d’utilisateurs touchés;
e)
du fait que l’auteur de la violation a agi délibérément ou par négligence;
f)
des mesures prises par l’entité pour prévenir ou atténuer les dommages matériels, corporels ou moraux;
g)
de l’application de codes de conduite approuvés ou de mécanismes de certification approuvés;
h)
du degré de coopération avec les autorités compétentes des personnes physiques ou morales tenues pour responsables.
8.
Les autorités compétentes exposent en détail les motifs de leurs mesures d’exécution. Avant de prendre de telles mesures, les autorités compétentes informent les entités concernées de leurs conclusions préliminaires. Elles laissent en outre à ces entités un délai raisonnable pour communiquer leurs observations, sauf dans des cas exceptionnels dûment motivés où cela empêcherait une intervention immédiate pour prévenir un incident ou y répondre.
9.
Les États membres veillent à ce que leurs autorités compétentes en vertu de la présente directive informent les autorités compétentes concernées au sein du même État membre en vertu de la directive (UE) 2022/2557 lorsqu’elles exercent leurs pouvoirs de supervision et d’exécution dans le but de garantir qu’une entité définie comme critique en vertu de la directive (UE) 2022/2557 respecte la présente directive. S’il y a lieu, les autorités compétentes en vertu de la directive (UE) 2022/2557 peuvent demander aux autorités compétentes en vertu de la présente directive d’exercer leurs pouvoirs de supervision et d’exécution à l’égard d’une entité qui est définie comme entité critique en vertu de la directive (UE) 2022/ 2557.
10.
Les États membres veillent à ce que leurs autorités compétentes en vertu de la présente directive coopèrent avec les autorités compétentes pertinentes de l’État membre concerné au titre du règlement (UE) 2022/2554. Les États membres veillent, en particulier, à ce que leurs autorités compétentes en vertu de la présente directive informent le forum de supervision institué en vertu de l’article 32, paragraphe 1, du règlement (UE) 2022/2554 lorsqu’elles exercent leurs pouvoirs de supervision et d’exécution dans le but de garantir qu’une entité essentielle qui a été désignée comme étant un prestataire tiers critique de services TIC au titre de l’article 31 du règlement (UE) 2022/2554 respecte la présente directive</t>
  </si>
  <si>
    <t xml:space="preserve">
Objectifs de sécurité des schémas européens de certification de cybersécurité
Un schéma européen de certification de cybersécurité est conçu de façon à réaliser, selon le cas, au moins les objectifs de sécurité suivants:
a) protéger les données stockées, transmises ou traitées de toute autre façon contre le stockage, le traitement, l’accès ou la diffusion accidentels ou non autorisés au cours de l’ensemble du cycle de vie du produit TIC, service TIC ou processus TIC;
b) protéger les données stockées, transmises ou traitées de toute autre façon contre la destruction accidentelle ou non autorisée, la perte ou l’altération, ou l’absence de disponibilité, au cours de l’ensemble du cycle de vie du produit TIC, service TIC ou processus TIC;
c) faire en sorte que les personnes autorisées, les programmes ou les machines ne puissent accéder qu’aux données, services ou fonctions concernés par leurs droits d’accès;
d) identifier et documenter les dépendances et vulnérabilités connues;FR 7.6.2019 Journal officiel de l’Union européenne L 151/55
e) garder une trace des données, fonctions ou services qui ont été consultés, utilisés ou traités de toute autre façon, du moment où ils l’ont été et par qui;
f) faire en sorte qu’il soit possible de vérifier quels données, services ou fonctions ont été consultés, utilisés ou traités de toute autre façon, à quel moment et par qui;
g) vérifier que les produits TIC, services TIC et processus TIC ne contiennent pas de vulnérabilités connues;
h) rétablir la disponibilité des données, services et fonctions ainsi que l’accès à ceux-ci dans les plus brefs délais en cas d’incident physique ou technique;
i) faire en sorte que les produits TIC, services TIC et processus TIC soient sécurisés par défaut et dès la conception;
j) faire en sorte que les produits TIC, services TIC et processus TIC soient dotés de logiciels et de matériel à jour et sans vulnérabilités connues du public, et de mécanismes permettant d’assurer les mises à jour en toute sécurité</t>
  </si>
  <si>
    <t xml:space="preserve">
Autoévaluation de la conformité
1. Un schéma européen de certification de cybersécurité peut permettre la réalisation d’une autoévaluation de la conformité sous la seule responsabilité du fabricant ou du fournisseur de produits TIC, services TIC ou processus TIC. L’autoévaluation de la conformité n’est autorisée que pour les produits TIC, services TIC et processus TIC qui présentent un risque faible schéma correspondant au niveau d’assurance dit «élémentaire».
2. Le fabricant ou le fournisseur de produits TIC, services TIC ou processus TIC peut délivrer une déclaration de conformité de l’Union européenne indiquant que le respect des exigences énoncées dans le schéma a été démontré. En délivrant une telle déclaration, le fabricant ou fournisseur de produits TIC, services TIC ou processus TIC assume la responsabilité du respect par le produit TIC, service TIC ou processus TIC des exigences fixées dans ce schéma.
3. Le fabricant ou fournisseur de produits TIC, services TIC ou processus TIC garde à la disposition de l’autorité nationale de certification de cybersécurité visée à l’article 58 la déclaration de conformité de l’Union européenne, la documentation technique et toutes les autres informations pertinentes relatives à la conformité des produits TIC ou services TIC avec le schéma pendant la durée prévue dans le schéma européen de certification de cybersécurité correspondant. Une copie de la déclaration de conformité de l’Union européenne est transmise à l’autorité nationale de certification de cybersécurité et à l’ENISA.
4. La délivrance d’une déclaration de conformité de l’Union européenne est volontaire, sauf disposition contraire du droit de l’Union ou du droit d’un État membre.
5. Les déclarations de conformité de l’Union européenne sont reconnues dans tous les États membres.</t>
  </si>
  <si>
    <t xml:space="preserve">
Éléments des schémas européens de certification de cybersécurité
1. Un schéma européen de certification de cybersécurité comprend au moins les éléments suivants:
a) l’objet et le champ d’application du schéma de certification, notamment le type ou les catégories de produits TIC, services TIC et processus TIC couverts;
b) une description claire de la finalité du schéma et de la façon dont les normes, les méthodes d’évaluation et les niveaux d’assurance sélectionnés correspondent aux besoins des utilisateurs auxquels le schéma est destiné;
c) des références aux normes internationales, européennes ou nationales appliquées dans le cadre de l’évaluation ou, lorsque de telles normes n’existent pas ou ne sont pas appropriées, à des spécifications techniques qui satisfont aux exigences énoncées à l’annexe II du règlement (UE) n o 1025/2012 ou, lorsque de telles spécifications ne sont pas disponibles, à des spécifications techniques ou d’autres exigences de cybersécurité définies dans le schéma européen de certification de cybersécurité;
d) le cas échéant, un ou plusieurs niveaux d’assurance;FR 7.6.2019 Journal officiel de l’Union européenne L 151/57
e) une mention indiquant si l’autoévaluation de la conformité est autorisée dans le cadre du schéma;
f) le cas échéant, des exigences spécifiques ou supplémentaires auxquelles sont soumis les organismes d’évaluation de la conformité aux fins de garantir qu’ils disposent des compétences techniques nécessaires pour évaluer les exigences de cybersécurité;
g) les critères et méthodes d’évaluation spécifiques qui doivent être utilisés, notamment les types d’évaluation, afin de démontrer que les objectifs de sécurité visés à l’article 51 sont atteints;
h) le cas échéant, les informations nécessaires à la certification qu’un demandeur doit fournir aux organismes d’évaluation de la conformité ou mettre à leur disposition d’une autre façon;
i) lorsque le schéma prévoit des marques ou des labels, les conditions dans lesquelles ces marques ou labels peuvent être utilisés;
j) les règles relatives au contrôle du respect par les produits TIC, services TIC et processus TIC des exigences liées aux certificats de cybersécurité européens ou aux déclarations de conformité de l’Union européenne, notamment les mécanismes permettant de démontrer le respect constant des exigences de cybersécurité qui ont été définies;
k) le cas échéant, les conditions permettant de délivrer, de maintenir, de prolonger et de renouveler les certificats européen de cybersécurité, ainsi que les conditions auxquelles il est possible d’étendre ou de réduire leur champ d’application;
l) les règles relatives aux conséquences pour les produits TIC, services TIC et processus TIC qui ont été certifiés ou pour lesquels une déclaration de conformité de l’Union européenne a été délivrée, mais qui ne respectent pas les exigences du schéma;
m) les règles relatives aux modalités de signalement et de traitement des vulnérabilités de cybersécurité non détectées précédemment dans des produits TIC, services TIC et processus TIC;
n) le cas échéant, les règles relatives à la conservation des archives par les organismes d’évaluation de la conformité;
o) l’identification des schémas nationaux ou internationaux de certification de cybersécurité couvrant le même type ou les mêmes catégories de produits TIC, services TIC et processus TIC, d’exigences de sécurité, de critères et méthodes d’évaluation et de niveaux d’assurance;
p) le contenu et le format des certificats de cybersécurité européens et des déclarations de conformité de l’Union européenne à délivrer;
q) la période de disponibilité de la déclaration de conformité de l’Union européenne, de la documentation technique et de toutes les autres informations pertinentes qui doivent être mises à disposition par le fabricant ou le fournisseur de produits TIC, services TIC ou processus TIC;
r) la durée maximale de validité des certificats de cybersécurité européens délivrés dans le cadre du schéma;
s) la politique de divulgation concernant les certificats de cybersécurité européens délivrés, modifiés ou retirés dans le cadre du schéma;
t) les conditions de reconnaissance mutuelle des schémas de certification avec les pays tiers;
u) le cas échéant, les règles relatives à tout mécanisme d’évaluation par les pairs établi par le schéma pour les autorités ou organismes qui délivrent des certificats de cybersécurité européens pour le niveau d’assurance dit «élevé» en vertu de l’article 56, paragraphe 6. Un tel mécanisme est sans préjudice de l’examen par les pairs prévu à l’article 59;
v) le format et les procédures que les fabricants ou les fournisseurs de produits TIC, services TIC ou processus TIC doivent appliquer pour fournir et mettre à jour les informations supplémentaires en matière de cybersécurité conformément à l’article 55.FR L 151/58 Journal officiel de l’Union européenne 7.6.2019
2. Les exigences du schéma européen de certification de cybersécurité qui ont été définies sont cohérentes avec toute exigence légale applicable, notamment les exigences découlant de dispositions harmonisées du droit de l’Union.
3. Lorsqu’un acte juridique spécifique de l’Union le prévoit, un certificat ou une déclaration de conformité de l’Union européenne délivré(e) dans le cadre d’un schéma européen de certification de cybersécurité peut être utilisé(e) pour démontrer la présomption de conformité aux exigences de cet acte juridique.
4. En l’absence de dispositions harmonisées du droit de l’Union, le droit d’un État membre peut aussi prévoir qu’un schéma européen de certification de cybersécurité peut être utilisé pour établir la présomption de conformité aux exigences légales.
</t>
  </si>
  <si>
    <t xml:space="preserve">
Informations supplémentaires en matière de cybersécurité pour les produits TIC, services TIC et processus TIC certifiés
1. Le fabricant ou le fournisseur de produits TIC, services TIC ou processus TIC certifiés ou de produits TIC, services TIC et processus TIC pour lesquels une déclaration de conformité de l’Union européenne a été délivrée met les informations supplémentaires en matière de cybersécurité qui suivent à la disposition du public:
a) des orientations et des recommandations pour aider les utilisateurs finaux à assurer, de façon sécurisée, la configuration, l’installation, le déploiement, le fonctionnement et la maintenance des produits TIC ou services TIC;
b) la période pendant laquelle une assistance en matière de sécurité sera offerte aux utilisateurs finaux, en particulier en ce qui concerne la disponibilité de mises à jour liées à la cybersécurité;
c) les informations de contact du fabricant ou du fournisseur et les méthodes acceptées pour recevoir des informations concernant des vulnérabilités de la part d’utilisateurs finaux et de chercheurs dans le domaine de la sécurité;
d) une mention relative aux répertoires en ligne recensant les vulnérabilités publiquement divulguées liées au produit TIC, service TIC ou processus TIC ainsi que tout conseil pertinent en matière de cybersécurité.
2. Les informations visées au paragraphe 1 sont disponibles sous forme électronique et restent disponibles et actualisées en tant que de besoin au moins jusqu’à l’expiration du certificat de cybersécurité européen ou de la déclaration de conformité de l’Union européenne correspondant(e).</t>
  </si>
  <si>
    <t xml:space="preserve">
Certification de cybersécurité
1. Les produits TIC, services TIC et processus TIC qui ont été certifiés dans le cadre d’un schéma européen de certification de cybersécurité adopté en vertu de l’article 49 sont présumés respecter les exigences de ce schéma.
2. La certification de cybersécurité est volontaire, sauf disposition contraire du droit de l’Union ou du droit d’un État membre.
3. La Commission évalue régulièrement l’efficacité et l’utilisation des schémas européens de certification de cybersécurité adoptés ainsi que la question de savoir si un schéma européen de certification de cybersécurité spécifique doit être rendu obligatoire, au moyen de dispositions pertinentes du droit de l’Union, pour garantir un niveau adéquat de cybersécurité des produits TIC, services TIC et processus TIC dans l’Union et améliorer le fonctionnement du marché intérieur. La première de ces évaluations est effectuée le 31 décembre 2023 au plus tard, et les évaluations suivantes sont effectuées au moins tous les deux ans par la suite. Sur la base des résultats de ces évaluations, la Commission recense les produits TIC, services TIC et processus TIC couverts par un schéma de certification existant qui doivent relever d’un schéma de certification obligatoire.
La Commission met l’accent en priorité sur les secteurs dont la liste figure à l’annexe II de la directive (UE) 2016/1148 qui sont évalués au plus tard deux ans après l’adoption du premier schéma européen de certification de cybersécurité.FR 7.6.2019 Journal officiel de l’Union européenne L 151/59
Lorsqu’elle prépare l’évaluation, la Commission:
a) tient compte de l’incidence des mesures, du point de vue des coûts, sur les fabricants ou fournisseurs de ces produits TIC, services TIC ou processus TIC et sur les utilisateurs, ainsi que des avantages sociétaux ou économiques résultant du renforcement escompté du niveau de sécurité des produits TIC, services TIC ou processus TIC ciblés;
b) tient compte de l’existence et de la mise en oeuvre du droit des États membres et des pays tiers concernés;
c) engage un processus de consultation ouvert, transparent et inclusif avec toutes les parties prenantes concernées et les États membres;
d) prend en considération les délais de mise en oeuvre ainsi que les mesures et périodes transitoires, en ce qui concerne, en particulier, l’incidence éventuelle de la mesure sur les fabricants ou les fournisseurs de produits TIC, services TIC ou processus TIC, y compris les PME;
e) propose la façon la plus rapide et la plus efficace de mettre en oeuvre la transition des schémas de certification volontaires vers les schémas de certification obligatoires.
4. Les organismes d’évaluation de la conformité visés à l’article 60 délivrent des certificats de cybersécurité européens au titre du présent article attestant du niveau d’assurance dit «élémentaire» ou «substantiel» sur la base des critères figurant dans le schéma européen de certification de cybersécurité adopté par la Commission conformément à l’article 49.
5. Par dérogation au paragraphe 4, dans des cas dûment justifiés, un schéma européen de certification de cybersécurité peut prévoir que seul un organisme public peut délivrer des certificats de cybersécurité européens dans le cadre dudit schéma. Cet organisme est l’une des entités suivantes:
a) une autorité nationale de certification de cybersécurité visée à l’article 58, paragraphe 1; ou
b) un organisme public accrédité en tant qu’organisme d’évaluation de la conformité conformément à l’article 60, paragraphe 1.
6. Lorsqu’un schéma européen de certification de cybersécurité adopté au titre de l’article 49 exige un niveau d’assurance dit «élevé», le certificat de cybersécurité européen dans le cadre de ce schéma ne doit être délivré que par une autorité nationale de certification de cybersécurité ou, dans les cas suivants, par un organisme d’évaluation de la conformité:
a) moyennant l’approbation préalable de l’autorité nationale de certification de cybersécurité pour chaque certificat de cybersécurité européen délivré par un organisme d’évaluation de la conformité; ou
b) sur la base d’une délégation préalable de la tâche consistant à délivrer de tels certificats de cybersécurité européens à un organisme d’évaluation de la conformité par l’autorité nationale de certification de cybersécurité.
7. La personne physique ou morale qui soumet des produits TIC, services TIC ou processus TIC à la certification met à la disposition de l’autorité nationale de certification de cybersécurité visée à l’article 58, lorsque cette autorité est l’organisme délivrant le certificat de cybersécurité européen, ou de l’organisme d’évaluation de la conformité visé à l’article 60 toutes les informations nécessaires pour procéder à la certification.
8. Le titulaire d’un certificat de cybersécurité européen informe l’autorité ou l’organisme visé au paragraphe 7 de toute vulnérabilité ou irrégularité détectée ultérieurement concernant la sécurité du produit TIC, service TIC ou processus TIC certifié susceptible d’avoir une incidence sur son respect des exigences liées à la certification. Cette autorité ou cet organisme transmet ces informations sans retard injustifié à l’autorité nationale de certification de cybersécurité concernée.
9. Un certificat de cybersécurité européen est délivré pour la durée prévue par le schéma européen de certification de cybersécurité concerné et peut être renouvelé, pourvu que les exigences applicables continuent d’être satisfaites.</t>
  </si>
  <si>
    <t xml:space="preserve">
Examen par les pairs
1. Dans un souci d’équivalence des normes, dans l’ensemble de l’Union, en ce qui concerne les certificats de cybersécurité européens et les déclarations de conformité de l’Union européenne, les autorités nationales de certification de cybersécurité font l’objet d’un examen par les pairs.
2. L’examen par les pairs est effectué selon des critères et des procédures d’évaluation cohérents et transparents, en particulier en ce qui concerne les exigences structurelles et celles relatives aux ressources humaines et aux processus, ainsi que la confidentialité et les plaintes.
3. L’examen par les pairs évalue:
a) lorsqu’il y a lieu, la question de savoir si les activités des autorités nationales de certification de cybersécurité liées à la délivrance de certificats de cybersécurité européens visées à l’article 56, paragraphe 5, point a), et à l’article 56, paragraphe 6, sont strictement distinctes des activités de supervision visées à l’article 58, et celle de savoir si ces activités sont exercées indépendamment l’une de l’autre;
b) les procédures permettant de superviser et de faire respecter les règles relatives au contrôle du respect par les produits TIC, services TIC et processus TIC des certificats de cybersécurité européens, conformément à l’article 58, paragraphe 7, point a);
c) les procédures permettant de contrôler et de faire respecter les obligations des fabricants et des fournisseurs de produits TIC, services TIC ou processus TIC, conformément à l’article 58, paragraphe 7, point b);
d) les procédures permettant de contrôler, d’autoriser et de superviser les activités des organismes d’évaluation de la conformité;
e) lorsqu’il y a lieu, la question de savoir si le personnel des autorités ou organismes qui délivrent des certificats pour un niveau d’assurance dit «élevé», conformément à l’article 56, paragraphe 6, dispose des compétences nécessaires.
4. L’examen par les pairs est réalisé au moins une fois tous les cinq ans par au moins deux autorités nationales de certification de cybersécurité d’autres États membres et par la Commission. L’ENISA peut participer à l’examen par les pairs.
5. La Commission peut adopter des actes d’exécution établissant un plan pour l’examen par les pairs couvrant une période d’au moins cinq ans et définissant les critères concernant la composition de l’équipe chargée de l’examen par les pairs, la méthode utilisée pour mener cet examen, ainsi que le programme, la fréquence et les autres tâches y afférentes. Lors de l’adoption de ces actes d’exécution, la Commission tient dûment compte des observations formulées par le GECC. Ces actes d’exécution sont adoptés en conformité avec la procédure d’examen visée à l’article 66, paragraphe 2.
6. Les résultats des examens par les pairs sont examinés par le GECC, qui établit des résumés pouvant être rendu publics et qui émet, au besoin, des lignes directri</t>
  </si>
  <si>
    <t xml:space="preserve">Act sur la résilience opérationnelle numérique DORA  du secteur financier et modifiant les règlements (CE) </t>
  </si>
  <si>
    <t xml:space="preserve">Directive de NIS </t>
  </si>
  <si>
    <t>Cyber Resilience Act</t>
  </si>
  <si>
    <t>ART 86</t>
  </si>
  <si>
    <t>ART 87</t>
  </si>
  <si>
    <t>ART 88</t>
  </si>
  <si>
    <t>ART 89</t>
  </si>
  <si>
    <t>ART 90</t>
  </si>
  <si>
    <t>ART 91</t>
  </si>
  <si>
    <t>ART 92</t>
  </si>
  <si>
    <t>ART 93</t>
  </si>
  <si>
    <t>ART 94</t>
  </si>
  <si>
    <t>ART 95</t>
  </si>
  <si>
    <t>ART 96</t>
  </si>
  <si>
    <t>ART 97</t>
  </si>
  <si>
    <t>ART 98</t>
  </si>
  <si>
    <t xml:space="preserve">Est puni d’un emprisonnement de deux ans et d’une amende de dix mille dinars, celui qui viole les dispositions de l’article 13 ainsi que le paragraphe premier de l’article 14, le 16paragraphe premier de l’article 28, le paragraphe premier de l’article 63 et les articles 70 et 71 de la présente loi. Est puni également des mêmes peines prévues au paragraphe précédent, celui qui viole les dispositions du paragraphe premier de l’article 27 ainsi que les articles 31, 44 et 68 de la présente loi. </t>
  </si>
  <si>
    <t xml:space="preserve">Est puni d’un an d’emprisonnement et d’une amende de dix mille dinars, celui qui porte une personne à donner son consentement pour le traitement de ses données personnelles en utilisant la fraude, la violence ou la menace. </t>
  </si>
  <si>
    <t xml:space="preserve">Est puni d’un an d’emprisonnement et d’une amende de cinq mille dinars, celui qui intentionnellement communique des données à caractère personnel pour réaliser un profit pour son compte personnel ou le compte d’autrui ou pour causer un préjudice à la personne concernée. </t>
  </si>
  <si>
    <t>Est puni d’un an d’emprisonnement et d’une amende de cinq mille dinars, quiconque : - effectue intentionnellement un traitement des données à caractère personnel sans présenter la déclaration prévue à l’article 7 ou sans l’obtention de l’autorisation prévue aux articles 15 et 69 de la présente loi, ou continue d’effectuer le traitement des données après l’interdiction de traitement ou le retrait de l’autorisation ; - diffuse les données à caractère personnel relatives à la santé nonobstant l’interdiction de l’Instance mentionnée au deuxième paragraphe de l’article 65 de la présente loi ; - transfert les données à caractère personnel à l’étranger sans l’autorisation de l’Instance ; - communique les données à caractère personnel sans le consentement de la personne concernée ou l’accord de l’Instance dans les cas prévus par la présente loi.</t>
  </si>
  <si>
    <t>Est puni d’un an d’emprisonnement et d’une amende de cinq mille dinars, le responsable du traitement ou le sous-traitant qui continue de traiter des données à caractère personnel malgré l’opposition de la personne concernée faite conformément aux dispositions de l’article 42 de la présente loi</t>
  </si>
  <si>
    <t xml:space="preserve">Est puni de huit mois d’emprisonnement et d’une amende de trois mille dinars, le responsable du traitement ou le sous- traitant qui intentionnellement limite ou entrave l’exercice du droit d’accès dans les cas autres que ceux prévus à l’article 35 de la présente loi. </t>
  </si>
  <si>
    <t xml:space="preserve">Est puni de trois mois d’emprisonnement et d’une amende de trois mille dinars quiconque diffuse intentionnellement des données à caractère personnel, à l’occasion de leur traitement, d’une manière qui nuit à la personne concernée ou à sa vie privée. La peine est d’un mois d’emprisonnement et d’une amende  de mille dinars lorsque la diffusion a été effectuée sans l’intention de nuire. La personne concernée peut demander au tribunal d’ordonner la publication d’un extrait du jugement dans un ou plusieurs journaux quotidiens, paraissant en Tunisie choisis par la personne concernée. Les frais de publication sont supportés par le condamné. Les poursuites ne peuvent être déclenchées qu’à la demande  de la personne concernée. Le désistement arrête la poursuite, le procès ou l’exécution de la peine. </t>
  </si>
  <si>
    <t>Est puni de trois mois d’emprisonnement et d’une amende de mille dinars quiconque viole les dispositions des articles 12, 18, et 19, ainsi que les paragraphes premier et deuxième de l’article 1720, et les articles 21, 37, 45, 64 et 74 de la présente loi. Est puni également des même peines prévues au paragraphe précédent quiconque collecte des données à caractère personnel à des fins illégitimes ou contraires à l’ordre public ou traite intentionnellement des données à caractère personnel inexactes, non mises à jour ou qui ne sont pas nécessaires à l’activité de traitement.</t>
  </si>
  <si>
    <t xml:space="preserve">Est puni d’une amende de dix mille dinars, la personne a qui les données ont été communiquées qui ne respecte pas les garanties et les mesures que l’Instance lui a fixées conformément aux dispositions du deuxième paragraphe de l’article 47 et du premier paragraphe de l’article 65 de la présente loi. </t>
  </si>
  <si>
    <t xml:space="preserve">Est puni d’une amende de cinq mille dinars, quiconque :  - entrave le travail de l’Instance Nationale de Protection des Données à Caractère Personnel en l’empêchant d’effectuer les investigations ou en refusant de délivrer les documents requis ; -Communique de mauvaise foi à l’Instance ou notifie à la personne concernée, intentionnellement, des informations inexactes. </t>
  </si>
  <si>
    <t>L’article 254 du Code pénal s’applique au responsable du traitement, au sous-traitant, à leurs agents, au président de l’Instance et à ses membres qui divulguent le contenu des données à caractère personnel sauf dans les cas prévus par la loi.</t>
  </si>
  <si>
    <t>Est puni d’une amende de mille dinars, le responsable du traitement, le sous-traitant, le syndic de faillite ou le liquidateur qui viole les dispositions de l’article 24 de la présente loi</t>
  </si>
  <si>
    <t>ART 99</t>
  </si>
  <si>
    <t>ART 101</t>
  </si>
  <si>
    <t xml:space="preserve">Est puni d’une amende de mille dinars, le responsable du traitement ou le sous-traitant qui viole les dispositions de l’article 39 de la présente loi. </t>
  </si>
  <si>
    <t>Lorsque le contrevenant est une personne morale, les peines prévues ci-dessus sont applicables personnellement et selon les cas au dirigeant légal ou de fait de la personne morale dont la responsabilité concernant les actes accomplis a été établie.</t>
  </si>
  <si>
    <t>RÈGLEMENT (UE) 2019/881 DU PARLEMENT EUROPÉEN ET DU CONSEIL du 17 avril 2019 526/2013 (règlement sur la cybersécurité)  cybersecurity act</t>
  </si>
  <si>
    <t>Loi n° 2000-84 du 24 août 2000, relative aux brevets d'invention</t>
  </si>
  <si>
    <t>loi n° 66 – 12 du 14 février 1966 relative à la propriété littéraire et artistique.</t>
  </si>
  <si>
    <t>Art. 4</t>
  </si>
  <si>
    <t>L’auteur est présumé être celui dont le nom figure sur l’œuvre. Pour les œuvres créées par des agents dans leur fonction, le droit appartient à ces agents, sauf contrat contraire. Dépôt facultatif à l’organisme de gestion collective.</t>
  </si>
  <si>
    <t>Art. 9</t>
  </si>
  <si>
    <t>Les droits moraux incluent : droit de divulgation, droit à la paternité (nom ou anonymat), droit au respect de l’œuvre (opposition aux modifications) et droit de retrait contre indemnisation.</t>
  </si>
  <si>
    <t>Art. 9 bis</t>
  </si>
  <si>
    <t>Les droits patrimoniaux permettent à l’auteur de reproduire, représenter, traduire, adapter ou louer son œuvre par tout moyen (papier, électronique, audiovisuel, etc.).</t>
  </si>
  <si>
    <t>Art. 9 ter</t>
  </si>
  <si>
    <t>Nul ne peut exploiter une œuvre sans contrat écrit précisant le responsable, le mode, la durée et la rémunération.</t>
  </si>
  <si>
    <t>Certaines utilisations sont licites sans autorisation ni rémunération : usage privé, enseignement, citation dans la presse, reproduction pour justice, caricature, œuvres visibles dans l’espace public, etc.</t>
  </si>
  <si>
    <t>Citations et emprunts autorisés à des fins scientifiques, éducatives ou informatives, avec mention de la source et de l’auteur.</t>
  </si>
  <si>
    <t>Les bibliothèques et centres éducatifs peuvent reproduire des œuvres pour conservation, remplacement ou recherche, à condition d’absence de but commercial.</t>
  </si>
  <si>
    <t>Art. 15</t>
  </si>
  <si>
    <t>La reproduction et diffusion d’œuvres est licite lorsqu’elle est justifiée par un but d'information lié à l’actualité.</t>
  </si>
  <si>
    <t>Art. 17</t>
  </si>
  <si>
    <t>Les œuvres produites par des médias publics tunisiens peuvent être utilisées un an sans nouvelle autorisation. Au-delà, une autorisation est requise. Les enregistrements culturels doivent être archivés.</t>
  </si>
  <si>
    <t>La protection est automatique dès la création. Elle dure toute la vie de l’auteur + 50 ans après sa mort. Différents cas sont précisés pour œuvres collectives, anonymes, pseudonymes ou posthumes.</t>
  </si>
  <si>
    <t>Art. 19</t>
  </si>
  <si>
    <t>Les œuvres photographiques sont protégées pendant 50 ans à compter de leur réalisation.</t>
  </si>
  <si>
    <t>Céder le droit de communication publique n’inclut pas automatiquement le droit de reproduction matérielle, et inversement. Chaque droit nécessite une autorisation spécifique.</t>
  </si>
  <si>
    <t>Article 26</t>
  </si>
  <si>
    <t>L’autorisation couvre toutes les diffusions réalisées par des établissements tunisiens, sauf clause contraire dans un contrat. Les œuvres publicitaires nécessitent un contrat spécifique.</t>
  </si>
  <si>
    <t>Article 28</t>
  </si>
  <si>
    <t>Le contrat doit prévoir une rémunération proportionnelle aux recettes d’exploitation, sauf stipulation contraire. Paiement à la signature.</t>
  </si>
  <si>
    <t>Article 29</t>
  </si>
  <si>
    <t>L’éditeur doit fournir chaque année un état : nombre d’exemplaires produits, vendus, stockés, détruits, et montant des redevances. Clause contraire réputée non écrite.</t>
  </si>
  <si>
    <t>Article 30</t>
  </si>
  <si>
    <t>L’auteur peut résilier si l’œuvre n’est pas publiée ou rééditée après épuisement. Si pas livrée dans 3 mois après demande = épuisée.</t>
  </si>
  <si>
    <t>Article 31</t>
  </si>
  <si>
    <t>L’éditeur doit établir un contrat avec l’auteur. Sinon, dommages-intérêts. L’auteur ne peut signer avec un autre éditeur sans autorisation.</t>
  </si>
  <si>
    <t>Article 32</t>
  </si>
  <si>
    <t>Aucun enregistrement de l’œuvre (disques, bandes, etc.) n’est permis sans contrat écrit avec l’auteur ou son représentant.</t>
  </si>
  <si>
    <t>Article 33</t>
  </si>
  <si>
    <t>Article 34</t>
  </si>
  <si>
    <t>Les fabricants doivent fournir leurs comptes à l’organisme de gestion et aux agents visés à l’article 54, à chaque requête.</t>
  </si>
  <si>
    <t>Article 35</t>
  </si>
  <si>
    <t>Toute fabrication sans contrat est interdite. Toute fraude dans la comptabilité liée aux ventes d’enregistrements est également interdite.</t>
  </si>
  <si>
    <t>Article 36 (nouveau)</t>
  </si>
  <si>
    <t>Chaque exemplaire doit porter : nom et adresse du producteur, sigle de l’organisme de gestion, numéro d’autorisation, titre, noms des auteurs et interprètes.</t>
  </si>
  <si>
    <t>Art. 42 bis</t>
  </si>
  <si>
    <t>Art. 43</t>
  </si>
  <si>
    <t>Art. 44</t>
  </si>
  <si>
    <t>Art. 45</t>
  </si>
  <si>
    <t>Art. 46 (nouveau)</t>
  </si>
  <si>
    <t>Art. 47 (nouveau)</t>
  </si>
  <si>
    <t>Art. 49 (nouveau)</t>
  </si>
  <si>
    <t>Art. 50 (nouveau)</t>
  </si>
  <si>
    <t>Art. 50 bis</t>
  </si>
  <si>
    <t>Art. 50 ter</t>
  </si>
  <si>
    <t>Art. 50 sexies</t>
  </si>
  <si>
    <t>Art. 51 (nouveau)</t>
  </si>
  <si>
    <t>Art. 54 (nouveau)</t>
  </si>
  <si>
    <t>Art. 54 bis</t>
  </si>
  <si>
    <t>Art. 55 (nouveau)</t>
  </si>
  <si>
    <t>Amendes (1 000 à 50 000 DT) et jusqu’à 12 mois de prison pour l’utilisation non autorisée d’œuvres protégées ou violation des procédures.</t>
  </si>
  <si>
    <t xml:space="preserve">	Le propriétaire d’un lieu où se produit une infraction peut être tenu responsable solidaire s’il était au courant.</t>
  </si>
  <si>
    <t>Les infractions sont constatées par les agents habilités (police, douanes, culture) qui peuvent saisir des copies et dresser PV officiels.</t>
  </si>
  <si>
    <t>Art. 1</t>
  </si>
  <si>
    <t>Toute invention (produit ou procédé) peut être protégée par brevet</t>
  </si>
  <si>
    <t>Art. 2</t>
  </si>
  <si>
    <t>Application industrielle = utilisable ou fabriquable dans toute industrie</t>
  </si>
  <si>
    <t>L’invention faite par un employé dans le cadre de ses fonctions revient à l’employeur</t>
  </si>
  <si>
    <t>La déclaration de l’invention doit décrire l’objet, les circonstances, la solution, les dessins</t>
  </si>
  <si>
    <t>Art. 13</t>
  </si>
  <si>
    <t>Si l’employeur revendique l’invention, le droit au brevet lui revient et l’employé a droit à compensation</t>
  </si>
  <si>
    <t>Art. 14</t>
  </si>
  <si>
    <t>L’employeur doit notifier sous 2 mois s’il manque des éléments dans la déclaration</t>
  </si>
  <si>
    <t>Le délai de revendication commence dès réception de la déclaration complète</t>
  </si>
  <si>
    <t>Devoir de communication mutuelle entre employé et employeur / interdiction de divulgation</t>
  </si>
  <si>
    <t>Contenu de la demande : requête, description, revendications, dessins, abrégé</t>
  </si>
  <si>
    <t>Langue de la demande : arabe, français ou anglais + paiement d’une redevance</t>
  </si>
  <si>
    <t>Art. 47</t>
  </si>
  <si>
    <t>Exceptions aux droits exclusifs : usage privé, expérimentation, génériques, etc.</t>
  </si>
  <si>
    <t>Art. 48</t>
  </si>
  <si>
    <t>Droit d’exploitation personnel pour ceux qui exploitaient avant le dépôt du brevet</t>
  </si>
  <si>
    <t>Obligation d’exploiter l’invention sous 3 ou 4 ans</t>
  </si>
  <si>
    <t>Art. 82</t>
  </si>
  <si>
    <t>Toute atteinte aux droits du breveté = contrefaçon, civile et pénale</t>
  </si>
  <si>
    <t>Art. 83</t>
  </si>
  <si>
    <t>Amende de 5000 à 50.000 DT en cas de contrefaçon (récidive = prison possible)</t>
  </si>
  <si>
    <t>Art. 84</t>
  </si>
  <si>
    <t>Le breveté ou les titulaires de licence peuvent intenter une action en contrefaçon</t>
  </si>
  <si>
    <t>Amende pour usage abusif du titre de détenteur de brevet (1000 à 5000 DT)</t>
  </si>
  <si>
    <t>Code de la propriété intellectuelle</t>
  </si>
  <si>
    <t>I. Les actes prévus aux 1° et 2° de l'article L. 122-6 ne sont pas soumis à l'autorisation de l'auteur lorsqu'ils
sont nécessaires pour permettre l'utilisation du logiciel, conformément à sa destination, par la personne ayant
le droit de l'utiliser, y compris pour corriger des erreurs.
Toutefois, l'auteur est habilité à se réserver par contrat le droit de corriger les erreurs et de déterminer les
modalités particulières auxquelles seront soumis les actes prévus aux 1° et 2° de l'article L. 122-6, nécessaires
pour permettre l'utilisation du logiciel, conformément à sa destination, par la personne ayant le droit de l'utiliser.
II. La personne ayant le droit d'utiliser le logiciel peut faire une copie de sauvegarde lorsque celle-ci est
nécessaire pour préserver l'utilisation du logiciel.
III. La personne ayant le droit d'utiliser le logiciel peut sans l'autorisation de l'auteur observer, étudier ou tester
le fonctionnement ou la sécurité de ce logiciel afin de déterminer les idées et principes qui sont à la base de
n'importe quel élément du logiciel lorsqu'elle effectue toute opération de chargement, d'affichage, d'exécution,
de transmission ou de stockage du logiciel qu'elle est en droit d'effectuer.
IV. La reproduction du code du logiciel ou la traduction de la forme de ce code n'est pas soumise à l'autorisation
de l'auteur lorsque la reproduction ou la traduction au sens du 1° ou du 2° de l'article L. 122-6 est indispensable
pour obtenir les informations nécessaires à l'interopérabilité d'un logiciel créé de façon indépendante avec
d'autres logiciels, sous réserve que soient réunies les conditions suivantes :
1° Ces actes sont accomplis par la personne ayant le droit d'utiliser un exemplaire du logiciel ou pour son
compte par une personne habilitée à cette fin ;
2° Les informations nécessaires à l'interopérabilité n'ont pas déjà été rendues facilement et rapidement
accessibles aux personnes mentionnées au 1° ci-dessus ;
3° Et ces actes sont limités aux parties du logiciel d'origine nécessaires à cette interopérabilité.
Les informations ainsi obtenues ne peuvent être :
1° Ni utilisées à des fins autres que la réalisation de l'interopérabilité du logiciel créé de façon indépendante ;
2° Ni communiquées à des tiers sauf si cela est nécessaire à l'interopérabilité du logiciel créé de façon
indépendante ;
3° Ni utilisées pour la mise au point, la production ou la commercialisation d'un logiciel dont l'expression est
substantiellement similaire ou pour tout autre acte portant atteinte au droit d'auteur.
V.-Les actes mentionnés au 1° de l'article L. 122-6 ne sont pas soumis à l'autorisation de l'auteur lorsqu'ils sont
effectués aux fins et dans les conditions mentionnées au 8° de l'article L. 122-5.
VI.-Les actes mentionnés aux 1° et 2° de l'article L. 122-6 ne sont pas soumis à l'autorisation de l'auteur
lorsqu'ils sont effectués aux fins et dans les conditions mentionnées au III de l'article L. 122-5-3.
VII.-Les actes mentionnés à l'article L. 122-6 ne sont pas soumis à l'autorisation de l'auteur lorsqu'ils sont
effectués aux fins et dans les conditions mentionnées aux 12° et 13° de l'article L. 122-5.
VIII. Le présent article ne saurait être interprété comme permettant de porter atteinte à l'exploitation normale
du logiciel ou de causer un préjudice injustifié aux intérêts légitimes de l'auteur.
Toute stipulation contraire aux dispositions prévues aux II, III et IV du présent article est nulle et non avenue</t>
  </si>
  <si>
    <t>Le ministre peut déclasser les organismes de niveau 1 et 2 sur avis de l’Agence en cas de :
• Absence d’audit de sécurité périodique
• Non-remise du rapport d’audit à l’Agence
• Non-exécution (ou partielle) des recommandations d’audit
• Non-respect des mesures d’urgence suite à un incident cyber
• Non-relève des défaillances dans les délais
• Absence de centre de réponse ou non-adhésion
• Non-respect du référentiel exigé (article 14)</t>
  </si>
  <si>
    <t>Les organismes de niveau 3 sont sanctionnés financièrement dans les cas suivants :
• Absence d’audit périodique de sécurité
• Non-exécution (ou partielle) des recommandations d’audit
• Non-respect des mesures d’urgence en cas d’attaque
• Non-relève des failles dans les délais
• Absence de centre de réponse ou non-adhésion</t>
  </si>
  <si>
    <t>Interdiction stricte de divulguer les informations obtenues lors de l’exécution d’ordonnances judiciaires.</t>
  </si>
  <si>
    <t>Obligation de réponse aux ordonnances judiciaires et rédaction détaillée d’un procès-verbal des opérations techniques.</t>
  </si>
  <si>
    <t>Art. 89</t>
  </si>
  <si>
    <t>Toute demande de label "sécurisé" (logiciel ou équipement électronique) doit être déposée à l’Agence Nationale de la Cybersécurité avec un dossier technique complet : fiche signalétique, droits, charte pro signée, copie logicielle/appareil, rapport d’audit de sécurité conforme, certificats, etc.</t>
  </si>
  <si>
    <t>Une commission technique examine les demandes. Elle est présidée par le DG de l’Agence et inclut 4 organismes spécialisés. 
Les décisions se prennent à la majorité, quorum obligatoire (ou réunion sous 3 jours même sans quorum). L’agence tient le secrétariat.</t>
  </si>
  <si>
    <t>Le certificat "sécurisé" contient : nom commercial, version, nom du développeur/importateur, 
date de délivrance, durée de validité, identifiant unique, cachet électronique conforme à la législation.</t>
  </si>
  <si>
    <t>Art 56</t>
  </si>
  <si>
    <t>Art 57</t>
  </si>
  <si>
    <t>Art 59</t>
  </si>
  <si>
    <t>Applicabilité</t>
  </si>
  <si>
    <t>Résumé</t>
  </si>
  <si>
    <t>2.
Les États membres demandent aux entités visées au paragraphe 1 de soumettre les informations suivantes aux autorités compétentes au plus tard le 17 janvier 2025:
a)
le nom de l’entité;
b)
les secteur, sous-secteur et type d’entité concernés, visés à l’annexe I ou II, le cas échéant;
c)
l’adresse de l’établissement principal de l’entité et de ses autres établissements légaux dans l’Union ou, si elle n’est pas établie dans l’Union, de son représentant désigné conformément à l’article 26, paragraphe 3;
d)
les coordonnées actualisées, y compris les adresses de courrier électronique et les numéros de téléphone de l’entité et, le cas échéant, de son représentant désigné conformément à l’article 26, paragraphe 3;
e)
les États membres dans lesquels l’entité fournit des services; et
f)
les plages d’IP de l’entité.
3.
Les États membres veillent à ce que les entités visées au paragraphe 1 notifient à l’autorité compétente toute modification des informations qu’elles ont communiquées en vertu du paragraphe 2 sans tarder et, en tout état de cause, dans un délai de trois mois à compter de la date de la modification.
4.
À la réception des informations visées aux paragraphes 2 et 3, à l’exception des informations visées au paragraphe 2, point f), le point de contact unique de l’État membre concerné les transmet sans retard injustifié à l’ENISA.</t>
  </si>
  <si>
    <t>Décret n° 2007-3004 du 27 novembre 2007, fixant les conditions  et les procédures de déclaratioDécret n° 2007-3004 du 27 novembre 2007, fixant les conditions  et les procédures de déclaration et d’autorisation pour le traitement  des données à caractère personneln et d’autorisation pour le traitement  des données à caractère personnel</t>
  </si>
  <si>
    <t>Loi organique n° 2004-63 du 27 juillet 2004,portant sur la protection des données à caractères personnellesanique n° 2004-63 du 27 juillet 2004,</t>
  </si>
  <si>
    <t>Arrêté du ministre des technologies de la communication du 12 septembre 2023, fixant les procédures et les conditions d’octroi du label « sécurisé » et de son retrait.</t>
  </si>
  <si>
    <r>
      <t xml:space="preserve">Les entités critiques doivent faire l’objet d’un </t>
    </r>
    <r>
      <rPr>
        <b/>
        <sz val="12"/>
        <rFont val="Times New Roman"/>
        <family val="1"/>
      </rPr>
      <t>audit périodique</t>
    </r>
    <r>
      <rPr>
        <sz val="12"/>
        <rFont val="Times New Roman"/>
        <family val="1"/>
      </rPr>
      <t xml:space="preserve"> selon des critères fixés par arrêté ministériel.</t>
    </r>
  </si>
  <si>
    <r>
      <t xml:space="preserve">L’audit doit être fait par </t>
    </r>
    <r>
      <rPr>
        <b/>
        <sz val="12"/>
        <rFont val="Times New Roman"/>
        <family val="1"/>
      </rPr>
      <t>des experts agréés</t>
    </r>
    <r>
      <rPr>
        <sz val="12"/>
        <rFont val="Times New Roman"/>
        <family val="1"/>
      </rPr>
      <t xml:space="preserve">, </t>
    </r>
    <r>
      <rPr>
        <b/>
        <sz val="12"/>
        <rFont val="Times New Roman"/>
        <family val="1"/>
      </rPr>
      <t>au moins une fois par an</t>
    </r>
    <r>
      <rPr>
        <sz val="12"/>
        <rFont val="Times New Roman"/>
        <family val="1"/>
      </rPr>
      <t>.</t>
    </r>
  </si>
  <si>
    <r>
      <t xml:space="preserve">Un </t>
    </r>
    <r>
      <rPr>
        <b/>
        <sz val="12"/>
        <rFont val="Times New Roman"/>
        <family val="1"/>
      </rPr>
      <t>label optionnel</t>
    </r>
    <r>
      <rPr>
        <sz val="12"/>
        <rFont val="Times New Roman"/>
        <family val="1"/>
      </rPr>
      <t xml:space="preserve"> peut être demandé pour un logiciel ou équipement, basé sur un </t>
    </r>
    <r>
      <rPr>
        <b/>
        <sz val="12"/>
        <rFont val="Times New Roman"/>
        <family val="1"/>
      </rPr>
      <t>audit réalisé par des experts agréés</t>
    </r>
    <r>
      <rPr>
        <sz val="12"/>
        <rFont val="Times New Roman"/>
        <family val="1"/>
      </rPr>
      <t>.</t>
    </r>
  </si>
  <si>
    <r>
      <t xml:space="preserve">Le </t>
    </r>
    <r>
      <rPr>
        <b/>
        <sz val="12"/>
        <rFont val="Times New Roman"/>
        <family val="1"/>
      </rPr>
      <t>label est renouvelable tous les 3 ans</t>
    </r>
    <r>
      <rPr>
        <sz val="12"/>
        <rFont val="Times New Roman"/>
        <family val="1"/>
      </rPr>
      <t>, mais peut être retiré en cas de faille ou modification technique. L’Agence tient un registre public.</t>
    </r>
  </si>
  <si>
    <r>
      <t xml:space="preserve">Les entités visées </t>
    </r>
    <r>
      <rPr>
        <b/>
        <sz val="12"/>
        <rFont val="Times New Roman"/>
        <family val="1"/>
      </rPr>
      <t>doivent héberger leurs systèmes gouvernementaux chez un fournisseur labellisé</t>
    </r>
    <r>
      <rPr>
        <sz val="12"/>
        <rFont val="Times New Roman"/>
        <family val="1"/>
      </rPr>
      <t>.</t>
    </r>
  </si>
  <si>
    <r>
      <t xml:space="preserve">Les organismes sont </t>
    </r>
    <r>
      <rPr>
        <b/>
        <sz val="12"/>
        <rFont val="Times New Roman"/>
        <family val="1"/>
      </rPr>
      <t>classés en 3 niveaux</t>
    </r>
    <r>
      <rPr>
        <sz val="12"/>
        <rFont val="Times New Roman"/>
        <family val="1"/>
      </rPr>
      <t xml:space="preserve"> (1er, 2e, non classé), selon : audit, équipement homologué, hébergement labellisé.</t>
    </r>
  </si>
  <si>
    <r>
      <t xml:space="preserve">Les infractions sont constatées via </t>
    </r>
    <r>
      <rPr>
        <b/>
        <sz val="12"/>
        <rFont val="Times New Roman"/>
        <family val="1"/>
      </rPr>
      <t>procès-verbaux par agents assermentés ou police judiciaire</t>
    </r>
    <r>
      <rPr>
        <sz val="12"/>
        <rFont val="Times New Roman"/>
        <family val="1"/>
      </rPr>
      <t>, transmis au procureur.</t>
    </r>
  </si>
  <si>
    <t>LA LOI N° 94-36, du 24 février 1994, RELATIVE À LA PROPRIÉTÉ LITTÉRAIRE ET ARTISTIQUE,</t>
  </si>
  <si>
    <r>
      <t xml:space="preserve">Durée de </t>
    </r>
    <r>
      <rPr>
        <b/>
        <sz val="12"/>
        <rFont val="Calibri"/>
        <family val="2"/>
        <scheme val="minor"/>
      </rPr>
      <t>protection des droits patrimoniaux</t>
    </r>
    <r>
      <rPr>
        <sz val="12"/>
        <rFont val="Calibri"/>
        <family val="2"/>
        <scheme val="minor"/>
      </rPr>
      <t xml:space="preserve"> : 50 ans après la première représentation publique, sinon 50 ans après la première copie.</t>
    </r>
  </si>
  <si>
    <r>
      <t xml:space="preserve">Un </t>
    </r>
    <r>
      <rPr>
        <b/>
        <sz val="12"/>
        <rFont val="Calibri"/>
        <family val="2"/>
        <scheme val="minor"/>
      </rPr>
      <t>logiciel créé par un salarié</t>
    </r>
    <r>
      <rPr>
        <sz val="12"/>
        <rFont val="Calibri"/>
        <family val="2"/>
        <scheme val="minor"/>
      </rPr>
      <t xml:space="preserve"> appartient à l’employeur, sauf stipulation contraire.</t>
    </r>
  </si>
  <si>
    <r>
      <t xml:space="preserve">Un </t>
    </r>
    <r>
      <rPr>
        <b/>
        <sz val="12"/>
        <rFont val="Calibri"/>
        <family val="2"/>
        <scheme val="minor"/>
      </rPr>
      <t>logiciel réalisé sur commande</t>
    </r>
    <r>
      <rPr>
        <sz val="12"/>
        <rFont val="Calibri"/>
        <family val="2"/>
        <scheme val="minor"/>
      </rPr>
      <t xml:space="preserve"> reste la propriété du producteur, sauf accord contraire.</t>
    </r>
  </si>
  <si>
    <r>
      <t xml:space="preserve">L’auteur d’un logiciel ne peut </t>
    </r>
    <r>
      <rPr>
        <b/>
        <sz val="12"/>
        <rFont val="Calibri"/>
        <family val="2"/>
        <scheme val="minor"/>
      </rPr>
      <t>s’opposer à son adaptation</t>
    </r>
    <r>
      <rPr>
        <sz val="12"/>
        <rFont val="Calibri"/>
        <family val="2"/>
        <scheme val="minor"/>
      </rPr>
      <t xml:space="preserve"> par un tiers si les droits ont été cédés.</t>
    </r>
  </si>
  <si>
    <r>
      <t xml:space="preserve">Toute utilisation d’un logiciel sans </t>
    </r>
    <r>
      <rPr>
        <b/>
        <sz val="12"/>
        <rFont val="Calibri"/>
        <family val="2"/>
        <scheme val="minor"/>
      </rPr>
      <t>autorisation écrite</t>
    </r>
    <r>
      <rPr>
        <sz val="12"/>
        <rFont val="Calibri"/>
        <family val="2"/>
        <scheme val="minor"/>
      </rPr>
      <t xml:space="preserve"> est interdite. Une </t>
    </r>
    <r>
      <rPr>
        <b/>
        <sz val="12"/>
        <rFont val="Calibri"/>
        <family val="2"/>
        <scheme val="minor"/>
      </rPr>
      <t>copie de sauvegarde</t>
    </r>
    <r>
      <rPr>
        <sz val="12"/>
        <rFont val="Calibri"/>
        <family val="2"/>
        <scheme val="minor"/>
      </rPr>
      <t xml:space="preserve"> est autorisée.</t>
    </r>
  </si>
  <si>
    <r>
      <t xml:space="preserve">Les </t>
    </r>
    <r>
      <rPr>
        <b/>
        <sz val="12"/>
        <rFont val="Calibri"/>
        <family val="2"/>
        <scheme val="minor"/>
      </rPr>
      <t>programmes informatiques</t>
    </r>
    <r>
      <rPr>
        <sz val="12"/>
        <rFont val="Calibri"/>
        <family val="2"/>
        <scheme val="minor"/>
      </rPr>
      <t xml:space="preserve"> bénéficient de la même protection que les œuvres littéraires (réf. art. 18).</t>
    </r>
  </si>
  <si>
    <r>
      <t xml:space="preserve">L’organisme de </t>
    </r>
    <r>
      <rPr>
        <b/>
        <sz val="12"/>
        <rFont val="Calibri"/>
        <family val="2"/>
        <scheme val="minor"/>
      </rPr>
      <t>gestion collective</t>
    </r>
    <r>
      <rPr>
        <sz val="12"/>
        <rFont val="Calibri"/>
        <family val="2"/>
        <scheme val="minor"/>
      </rPr>
      <t xml:space="preserve"> défend les droits d’auteur, collecte les redevances, représente les auteurs localement et à l’étranger.</t>
    </r>
  </si>
  <si>
    <r>
      <t>Importation, production, exportation, ou vente</t>
    </r>
    <r>
      <rPr>
        <sz val="12"/>
        <rFont val="Calibri"/>
        <family val="2"/>
        <scheme val="minor"/>
      </rPr>
      <t xml:space="preserve"> d’œuvres illicites interdites si contraires aux droits d’auteur et à la loi.</t>
    </r>
  </si>
  <si>
    <r>
      <t xml:space="preserve">Les </t>
    </r>
    <r>
      <rPr>
        <b/>
        <sz val="12"/>
        <rFont val="Calibri"/>
        <family val="2"/>
        <scheme val="minor"/>
      </rPr>
      <t>douanes peuvent suspendre le dédouanement</t>
    </r>
    <r>
      <rPr>
        <sz val="12"/>
        <rFont val="Calibri"/>
        <family val="2"/>
        <scheme val="minor"/>
      </rPr>
      <t xml:space="preserve"> s’il existe une suspicion d’atteinte aux droits d’auteur.</t>
    </r>
  </si>
  <si>
    <r>
      <t xml:space="preserve">Les ayants droit peuvent </t>
    </r>
    <r>
      <rPr>
        <b/>
        <sz val="12"/>
        <rFont val="Calibri"/>
        <family val="2"/>
        <scheme val="minor"/>
      </rPr>
      <t>demander la suspension douanière</t>
    </r>
    <r>
      <rPr>
        <sz val="12"/>
        <rFont val="Calibri"/>
        <family val="2"/>
        <scheme val="minor"/>
      </rPr>
      <t xml:space="preserve"> de produits suspects.</t>
    </r>
  </si>
  <si>
    <r>
      <t xml:space="preserve">Le propriétaire des produits peut demander la </t>
    </r>
    <r>
      <rPr>
        <b/>
        <sz val="12"/>
        <rFont val="Calibri"/>
        <family val="2"/>
        <scheme val="minor"/>
      </rPr>
      <t>levée de rétention</t>
    </r>
    <r>
      <rPr>
        <sz val="12"/>
        <rFont val="Calibri"/>
        <family val="2"/>
        <scheme val="minor"/>
      </rPr>
      <t xml:space="preserve"> avec un </t>
    </r>
    <r>
      <rPr>
        <b/>
        <sz val="12"/>
        <rFont val="Calibri"/>
        <family val="2"/>
        <scheme val="minor"/>
      </rPr>
      <t>cautionnement</t>
    </r>
    <r>
      <rPr>
        <sz val="12"/>
        <rFont val="Calibri"/>
        <family val="2"/>
        <scheme val="minor"/>
      </rPr>
      <t xml:space="preserve"> et conditions juridiques.</t>
    </r>
  </si>
  <si>
    <r>
      <t xml:space="preserve">Toute violation des droits donne lieu à des </t>
    </r>
    <r>
      <rPr>
        <b/>
        <sz val="12"/>
        <rFont val="Calibri"/>
        <family val="2"/>
        <scheme val="minor"/>
      </rPr>
      <t>dommages-intérêts matériels et moraux</t>
    </r>
    <r>
      <rPr>
        <sz val="12"/>
        <rFont val="Calibri"/>
        <family val="2"/>
        <scheme val="minor"/>
      </rPr>
      <t xml:space="preserve"> décidés par le tribunal.</t>
    </r>
  </si>
  <si>
    <r>
      <t xml:space="preserve">Le titulaire peut obtenir des </t>
    </r>
    <r>
      <rPr>
        <b/>
        <sz val="12"/>
        <rFont val="Calibri"/>
        <family val="2"/>
        <scheme val="minor"/>
      </rPr>
      <t>mesures conservatoires</t>
    </r>
    <r>
      <rPr>
        <sz val="12"/>
        <rFont val="Calibri"/>
        <family val="2"/>
        <scheme val="minor"/>
      </rPr>
      <t xml:space="preserve"> (saisie, interdiction de représentation) par </t>
    </r>
    <r>
      <rPr>
        <b/>
        <sz val="12"/>
        <rFont val="Calibri"/>
        <family val="2"/>
        <scheme val="minor"/>
      </rPr>
      <t>ordonnance sur requête</t>
    </r>
    <r>
      <rPr>
        <sz val="12"/>
        <rFont val="Calibri"/>
        <family val="2"/>
        <scheme val="minor"/>
      </rPr>
      <t>.</t>
    </r>
  </si>
  <si>
    <r>
      <t xml:space="preserve">Les </t>
    </r>
    <r>
      <rPr>
        <b/>
        <sz val="12"/>
        <rFont val="Calibri"/>
        <family val="2"/>
        <scheme val="minor"/>
      </rPr>
      <t>tribunaux</t>
    </r>
    <r>
      <rPr>
        <sz val="12"/>
        <rFont val="Calibri"/>
        <family val="2"/>
        <scheme val="minor"/>
      </rPr>
      <t xml:space="preserve"> peuvent ordonner la </t>
    </r>
    <r>
      <rPr>
        <b/>
        <sz val="12"/>
        <rFont val="Calibri"/>
        <family val="2"/>
        <scheme val="minor"/>
      </rPr>
      <t>confiscation</t>
    </r>
    <r>
      <rPr>
        <sz val="12"/>
        <rFont val="Calibri"/>
        <family val="2"/>
        <scheme val="minor"/>
      </rPr>
      <t xml:space="preserve">, </t>
    </r>
    <r>
      <rPr>
        <b/>
        <sz val="12"/>
        <rFont val="Calibri"/>
        <family val="2"/>
        <scheme val="minor"/>
      </rPr>
      <t>fermeture temporaire</t>
    </r>
    <r>
      <rPr>
        <sz val="12"/>
        <rFont val="Calibri"/>
        <family val="2"/>
        <scheme val="minor"/>
      </rPr>
      <t xml:space="preserve">, </t>
    </r>
    <r>
      <rPr>
        <b/>
        <sz val="12"/>
        <rFont val="Calibri"/>
        <family val="2"/>
        <scheme val="minor"/>
      </rPr>
      <t>destruction</t>
    </r>
    <r>
      <rPr>
        <sz val="12"/>
        <rFont val="Calibri"/>
        <family val="2"/>
        <scheme val="minor"/>
      </rPr>
      <t xml:space="preserve"> des copies illicites, ou </t>
    </r>
    <r>
      <rPr>
        <b/>
        <sz val="12"/>
        <rFont val="Calibri"/>
        <family val="2"/>
        <scheme val="minor"/>
      </rPr>
      <t>publication du jugement</t>
    </r>
    <r>
      <rPr>
        <sz val="12"/>
        <rFont val="Calibri"/>
        <family val="2"/>
        <scheme val="minor"/>
      </rPr>
      <t>.</t>
    </r>
  </si>
  <si>
    <r>
      <t xml:space="preserve">Les œuvres sont protégées si : auteur ou producteur est </t>
    </r>
    <r>
      <rPr>
        <b/>
        <sz val="12"/>
        <rFont val="Calibri"/>
        <family val="2"/>
        <scheme val="minor"/>
      </rPr>
      <t>Tunisien</t>
    </r>
    <r>
      <rPr>
        <sz val="12"/>
        <rFont val="Calibri"/>
        <family val="2"/>
        <scheme val="minor"/>
      </rPr>
      <t xml:space="preserve">, ou œuvre </t>
    </r>
    <r>
      <rPr>
        <b/>
        <sz val="12"/>
        <rFont val="Calibri"/>
        <family val="2"/>
        <scheme val="minor"/>
      </rPr>
      <t>publiée / érigée</t>
    </r>
    <r>
      <rPr>
        <sz val="12"/>
        <rFont val="Calibri"/>
        <family val="2"/>
        <scheme val="minor"/>
      </rPr>
      <t xml:space="preserve"> en Tunisie, ou protégée par une </t>
    </r>
    <r>
      <rPr>
        <b/>
        <sz val="12"/>
        <rFont val="Calibri"/>
        <family val="2"/>
        <scheme val="minor"/>
      </rPr>
      <t>convention internationale</t>
    </r>
    <r>
      <rPr>
        <sz val="12"/>
        <rFont val="Calibri"/>
        <family val="2"/>
        <scheme val="minor"/>
      </rPr>
      <t>.</t>
    </r>
  </si>
  <si>
    <r>
      <t xml:space="preserve">Les </t>
    </r>
    <r>
      <rPr>
        <b/>
        <sz val="12"/>
        <rFont val="Calibri"/>
        <family val="2"/>
        <scheme val="minor"/>
      </rPr>
      <t>droits voisins</t>
    </r>
    <r>
      <rPr>
        <sz val="12"/>
        <rFont val="Calibri"/>
        <family val="2"/>
        <scheme val="minor"/>
      </rPr>
      <t xml:space="preserve"> (interprètes, producteurs, radios) s’appliquent si les conditions de </t>
    </r>
    <r>
      <rPr>
        <b/>
        <sz val="12"/>
        <rFont val="Calibri"/>
        <family val="2"/>
        <scheme val="minor"/>
      </rPr>
      <t>nationalité, lieu de première fixation ou diffusion</t>
    </r>
    <r>
      <rPr>
        <sz val="12"/>
        <rFont val="Calibri"/>
        <family val="2"/>
        <scheme val="minor"/>
      </rPr>
      <t xml:space="preserve"> sont remplies.</t>
    </r>
  </si>
  <si>
    <r>
      <t xml:space="preserve">Ne sont </t>
    </r>
    <r>
      <rPr>
        <b/>
        <sz val="12"/>
        <rFont val="Calibri"/>
        <family val="2"/>
        <scheme val="minor"/>
      </rPr>
      <t>pas brevetables</t>
    </r>
    <r>
      <rPr>
        <sz val="12"/>
        <rFont val="Calibri"/>
        <family val="2"/>
        <scheme val="minor"/>
      </rPr>
      <t xml:space="preserve"> : logiciels, méthodes économiques, plans, principes, créations ornementales, etc.</t>
    </r>
  </si>
  <si>
    <r>
      <t xml:space="preserve">L’employé doit </t>
    </r>
    <r>
      <rPr>
        <b/>
        <sz val="12"/>
        <rFont val="Calibri"/>
        <family val="2"/>
        <scheme val="minor"/>
      </rPr>
      <t>déclarer immédiatement</t>
    </r>
    <r>
      <rPr>
        <sz val="12"/>
        <rFont val="Calibri"/>
        <family val="2"/>
        <scheme val="minor"/>
      </rPr>
      <t xml:space="preserve"> toute invention faite dans son cadre de travail</t>
    </r>
  </si>
  <si>
    <r>
      <t xml:space="preserve">Le brevet donne un </t>
    </r>
    <r>
      <rPr>
        <b/>
        <sz val="12"/>
        <rFont val="Calibri"/>
        <family val="2"/>
        <scheme val="minor"/>
      </rPr>
      <t>droit exclusif</t>
    </r>
    <r>
      <rPr>
        <sz val="12"/>
        <rFont val="Calibri"/>
        <family val="2"/>
        <scheme val="minor"/>
      </rPr>
      <t xml:space="preserve"> sur le produit ou procédé</t>
    </r>
  </si>
  <si>
    <t>Loi n° 2006-961 du 1 août 2006 relative au droit d'auteur et aux droits voisins dans la société de l'information (1).</t>
  </si>
  <si>
    <t>Code du patrimoine</t>
  </si>
  <si>
    <t>LOI n° 2009-669 du 12 juin 2009 favorisant la diffusion et la protection de la création sur internet (1)</t>
  </si>
  <si>
    <t>l-111-1</t>
  </si>
  <si>
    <t>L-112-2</t>
  </si>
  <si>
    <t>L-112-3</t>
  </si>
  <si>
    <t>R-132-8</t>
  </si>
  <si>
    <t>R132-10</t>
  </si>
  <si>
    <t>R132-11</t>
  </si>
  <si>
    <t>R-132-12</t>
  </si>
  <si>
    <t>R-132-14</t>
  </si>
  <si>
    <t>R-132-17</t>
  </si>
  <si>
    <t>L-122-6</t>
  </si>
  <si>
    <t xml:space="preserve">4.  Tout créateur d’un dessin ou d’un modèle industriel ou ses ayants droit ont le droit exclusif d’exploiter ou de vendre ce dessin ou modèle industriel, et ce, sans préjudice des page 1/9 droits qu’ils tiendraient d’autres dispositions légales et notamment la législation relative à la propriété littéraire et artistique. Est interdit aux tiers agissant sans le consentement du titulaire d’un dessin ou d’un modèle industriel ou ses ayants droit, de fabriquer, de vendre ou d’importer des marchandises comportant un dessin ou un modèle industriel qui est, en totalité ou en partie, une copie du dessin ou du modèle protégé, lorsque ces actes sont entrepris à des fins de commerce. </t>
  </si>
  <si>
    <t>Loi n° 2001—21 du 6 février 2001, relative à la protection des dessins et modèles industriels</t>
  </si>
  <si>
    <t>Art 9</t>
  </si>
  <si>
    <t xml:space="preserve">24.  Toute atteinte portée aux droits du titulaire d’un dessin ou modèle industriel tels que définis par l’article 4 de la présente loi, constitue un délit de contrefaçon et engage la responsabilité civile et pénale de son auteur. Quiconque aura porté sciemment atteinte à ces droits, sera puni d’une amende de cinq mille à cinquante mille dinars. page 5/9 En outre, le tribunal peut ordonner, aux frais du condamné, l’affichage du jugement dans les lieux qu’il détermine et son insertion intégrale ou par extrait dans les journaux qu’il désigne. Est passible d’une amende de mille à cinq mille dinars quiconque aura fait figurer sur ses documents de commerce, ses annonces ou ses produits, une mention tendant à faire croire qu’un dessin ou un modèle industriel a été déposé en vertu de la présente loi, alors que ce dépôt n’a pas eu lieu ou qu’il a été annulé ou que la période pour laquelle il a été effectué a pris fin. L’action pénale ne peut être exercée par le Ministère Public que sur plainte de la partie lésée. </t>
  </si>
  <si>
    <t xml:space="preserve"> La propriété d’un dessin ou d’un modèle industriel appartient à celui qui l’a créé ou à ses ayants droits.  Le premier déposant dudit dessin ou modèle industriel est présumé, jusqu’à preuve contraire, en être le créateur. </t>
  </si>
  <si>
    <t xml:space="preserve"> Le dépôt d’un dessin ou d’un modèle industriel doit être effectué auprès de l’Organisme chargé de la propriété industrielle moyennant le paiement de redevances dont les montants seront fixés par décret. Si le déposant est représenté par un mandataire, un pouvoir écrit doit être joint à la déclaration de dépôt. Le déposant domicilié à l’étranger doit constituer un mandataire établi en Tunisie. Le pouvoir du mandataire doit spécifier l’étendue du mandat.  Sauf stipulations contraires, ce pouvoir s’étend à tous les actes affectant le dessin ou le modèle industriel, y compris les notifications prévues par la présente loi. La renonciation au dépôt du dessin ou du modèle industriel nécessite un pouvoir spécial. </t>
  </si>
  <si>
    <t xml:space="preserve">e à quinze ans. La déclaration doit, sous peine d’irrecevabilité : –  être établie suivant un formulaire fixé par l’Organisme chargé de la propriété industrielle et qui doit comporter obligatoirement l’identification du titulaire du dépôt dont la prolongation est demandée; –  être présentée au cours des six derniers mois qui précèdent l’expiration de la première période de protection, par l’intéressé ou par son mandataire, qui doit joindre à la déclaration l’acte qui le mandate; –  être accompagnée de la justification du paiement de la redevance prescrite. Il peut être précisé que la prolongation ne vaut que pour certains des dessins ou modèles industriels protégés. </t>
  </si>
  <si>
    <t xml:space="preserve"> Toute atteinte portée aux droits du titulaire d’un dessin ou modèle industriel tels que définis par l’article 4 de la présente loi, constitue un délit de contrefaçon et engage la responsabilité civile et pénale de son auteur. Quiconque aura porté sciemment atteinte à ces droits, sera puni d’une amende de cinq mille à cinquante mille dinars. page 5/9 En outre, le tribunal peut ordonner, aux frais du condamné, l’affichage du jugement dans les lieux qu’il détermine et son insertion intégrale ou par extrait dans les journaux qu’il désigne. Est passible d’une amende de mille à cinq mille dinars quiconque aura fait figurer sur ses documents de commerce, ses annonces ou ses produits, une mention tendant à faire croire qu’un dessin ou un modèle industriel a été déposé en vertu de la présente loi, alors que ce dépôt n’a pas eu lieu ou qu’il a été annulé ou que la période pour laquelle il a été effectué a pris fin. L’action pénale ne peut être exercée par le Ministère Public que sur plainte de la partie lésée. </t>
  </si>
  <si>
    <t>L-131-4</t>
  </si>
  <si>
    <t>L-132-34</t>
  </si>
  <si>
    <t>L-137-1</t>
  </si>
  <si>
    <t>L-331-14</t>
  </si>
  <si>
    <t>L-331-29</t>
  </si>
  <si>
    <t>L-332-4</t>
  </si>
  <si>
    <t>L335-2-1</t>
  </si>
  <si>
    <t>L-222-6-1</t>
  </si>
  <si>
    <t>L-122-6-1</t>
  </si>
  <si>
    <t>L-122-6-2</t>
  </si>
  <si>
    <t>L335-3</t>
  </si>
  <si>
    <t>L-716-10</t>
  </si>
  <si>
    <t xml:space="preserve">
L'auteur d'une oeuvre de l'esprit jouit sur cette oeuvre, du seul fait de sa création, d'un droit de propriété
incorporelle exclusif et opposable à tous.
Ce droit comporte des attributs d'ordre intellectuel et moral ainsi que des attributs d'ordre patrimonial, qui sont
déterminés par les livres Ier et III du présent code.
L'existence ou la conclusion d'un contrat de louage d'ouvrage ou de service par l'auteur d'une oeuvre de
l'esprit n'emporte pas dérogation à la jouissance du droit reconnu par le premier alinéa, sous réserve des
exceptions prévues par le présent code. Sous les mêmes réserves, il n'est pas non plus dérogé à la jouissance
de ce même droit lorsque l'auteur de l'oeuvre de l'esprit est un agent de l'Etat, d'une collectivité territoriale,
d'un établissement public à caractère administratif, d'une autorité administrative indépendante dotée de la
personnalité morale, de la Banque de France, de l'Institut de France, de l'Académie française, de l'Académie
des inscriptions et belles-lettres, de l'Académie des sciences, de l'Académie des beaux-arts ou de l'Académie
des sciences morales et politique.
Les dispositions des articles L. 121-7-1 et L. 131-3-1 à L. 131-3-3 ne s'appliquent pas aux agents auteurs
d'oeuvres dont la divulgation n'est soumise, en vertu de leur statut ou des règles qui régissent leurs fonctions,
à aucun contrôle préalable de l'autorité hiérarchique.</t>
  </si>
  <si>
    <t xml:space="preserve">
Sont considérés notamment comme oeuvres de l'esprit au sens du présent code :
1° Les livres, brochures et autres écrits littéraires, artistiques et scientifiques ;
2° Les conférences, allocutions, sermons, plaidoiries et autres oeuvres de même nature ;
3° Les oeuvres dramatiques ou dramatico-musicales ;
4° Les oeuvres chorégraphiques, les numéros et tours de cirque, les pantomimes, dont la mise en oeuvre est
fixée par écrit ou autrement ;
5° Les compositions musicales avec ou sans paroles ;
6° Les oeuvres cinématographiques et autres oeuvres consistant dans des séquences animées d'images,
sonorisées ou non, dénommées ensemble oeuvres audiovisuelles ;
7° Les oeuvres de dessin, de peinture, d'architecture, de sculpture, de gravure, de lithographie ;
8° Les oeuvres graphiques et typographiques ;
9° Les oeuvres photographiques et celles réalisées à l'aide de techniques analogues à la photographie ;
10° Les oeuvres des arts appliqués ;
11° Les illustrations, les cartes géographiques ;
12° Les plans, croquis et ouvrages plastiques relatifs à la géographie, à la topographie, à l'architecture et aux
sciences ;
13° Les logiciels, y compris le matériel de conception préparatoire ;
14° Les créations des industries saisonnières de l'habillement et de la parure. Sont réputées industries
saisonnières de l'habillement et de la parure les industries qui, en raison des exigences de la mode, renouvellent
fréquemment la forme de leurs produits, et notamment la couture, la fourrure, la lingerie, la broderie, la mode,
la chaussure, la ganterie, la maroquinerie, la fabrique de tissus de haute nouveauté ou spéciaux à la haute
couture, les productions des paruriers et des bottiers et les fabriques de tissus d'ameublement.</t>
  </si>
  <si>
    <t xml:space="preserve">
Les auteurs de traductions, d'adaptations, transformations ou arrangements des oeuvres de l'esprit jouissent de
la protection instituée par le présent code sans préjudice des droits de l'auteur de l'oeuvre originale. Il en est de
même des auteurs d'anthologies ou de recueils d'oeuvres ou de données diverses, tels que les bases de données,
qui, par le choix ou la disposition des matières, constituent des créations intellectuelles.
On entend par base de données un recueil d'oeuvres, de données ou d'autres éléments indépendants, disposés
de manière systématique ou méthodique, et individuellement accessibles par des moyens électroniques ou par
tout autre moyen.</t>
  </si>
  <si>
    <t xml:space="preserve">
Les nantissements du droit d'exploitation des logiciels sont inscrits sur le Registre national spécial des logiciels
tenu par l'Institut national de la propriété industrielle.
Y figurent pour chaque logiciel :
1° L'identité du titulaire du droit visé à l'article L. 122-6 et du créancier gagiste, ainsi que toutes modifications
relatives à leurs nom, prénoms, dénomination sociale, forme juridique, domicile ou siège social ;
2° L'indication des éléments de nature à permettre l'identification du logiciel, tels que le nom, la marque,
la désignation du code-source, des documents de fonctionnement et des mises à jour, ainsi que toute autre
caractéristique du logiciel et, le cas échéant, les références d'un dépôt ;
3° L'acte constitutif du nantissement sur tout ou partie du droit d'exploitation du logiciel ;
4° Les actes modifiant la propriété ou la jouissance du droit d'exploitation ;
5° Les actes modifiant les droits du créancier nanti ;
6° Les demandes en justice et les décisions judiciaires définitives lorsqu'elles portent sur les droits, objet du
contrat de nantissement ;
7° Les rectifications d'erreurs matérielles affectant les inscriptions.</t>
  </si>
  <si>
    <t xml:space="preserve">
La demande d'inscription du nantissement est réalisée par le dépôt d'un bordereau dont la forme est déterminée
par décision du directeur général de l'Institut national de la propriété industrielle.
Le bordereau comprend les indications suivantes :
1° Les nom, prénoms, domicile ou la dénomination sociale, forme juridique et siège social du créancier et
du débiteur ;
2° La désignation du logiciel par son nom, sa marque avec l'indication précise de tous éléments d'identification
et caractéristiques tels que la désignation du code-source, des documents de fonctionnement et des mises à
jour ainsi que, le cas échéant, les références d'un dépôt du logiciel ;
3° La nature et la date de l'acte constitutif du nantissement ;
4° Le montant de la créance exprimée dans l'acte, son exigibilité, les conditions relatives aux intérêts ainsi
que les frais accessoires.
A ce bordereau sont joints :
- un des originaux de l'acte constitutif du nantissement ;
p.269 Code de la propriété intellectuelle
Partie réglementaire - Livre Ier : Le droit d'auteur - Titre III : Exploitation des droits
- une reproduction de l'acte susmentionné lorsque le demandeur entend que l'original ou l'expédition lui soit
restitué ;
- la justification du paiement de la redevance prescrite ;
- s'il y a lieu, le pouvoir du mandataire.</t>
  </si>
  <si>
    <t xml:space="preserve">
Les actes ayant pour effet de modifier ou d'anéantir les droits publiés du débiteur et du créancier, tels que,
notamment, la cession, la concession d'un droit d'exploitation, la cession du nantissement ou la renonciation à
ce dernier, ainsi que les demandes en justice et les décisions judiciaires définitives relatives à ces droits, sont
inscrits à la demande de l'une des parties à l'acte.
La demande comprend :
1° Un bordereau de demande d'inscription dont la forme est déterminée par décision du directeur général de
l'Institut national de la propriété industrielle ;
2° Un des originaux de l'acte sous seing privé ou, selon les cas, une expédition de l'acte authentique ou de
l'acte introductif d'instance ;
3° Une reproduction de l'acte susmentionné lorsque le demandeur entend que l'original ou l'expédition lui soit
restitué ;
4° La justification du paiement de la redevance prescrite ;
5° S'il y a lieu, le pouvoir du mandataire.</t>
  </si>
  <si>
    <t xml:space="preserve">
Tout changement de nom, de prénoms ou de domicile des personnes physiques, toute modification de
dénomination sociale, de forme juridique ou de siège social des personnes morales sont inscrits à la demande
de toute personne intéressée.
La demande comprend :
1° Un bordereau de demande d'inscription dont la forme est déterminée par décision du directeur général de
l'Institut national de la propriété industrielle ;
2° Tout document destiné à constater les changements ou modifications de l'état civil et du domicile des
personnes physiques ou de la dénomination, du statut juridique et du siège social des personnes morales ;
3° La justification du paiement de la redevance prescrite ;
4° S'il y a lieu, le pouvoir du mandataire.</t>
  </si>
  <si>
    <t xml:space="preserve">
En cas de non-conformité d'une demande d'inscription, notification motivée en est faite au demandeur. Un
délai de deux mois lui est imparti pour régulariser sa demande ou présenter des observations. A défaut de
régularisation ou d'observation permettant de lever l'objection, la demande est rejetée par décision du directeur
général de l'Institut national de la propriété industrielle.
La notification peut être assortie d'une proposition de régularisation. Dans ce cas, cette proposition est réputée
acceptée si le demandeur ne la conteste pas dans le délai de deux mois qui lui est imparti.</t>
  </si>
  <si>
    <t xml:space="preserve">
Toute inscription portée au Registre national spécial des logiciels fait l'objet d'une mention au Bulletin officiel
de la propriété industrielle.
Toute personne intéressée peut obtenir de l'institut :
a) Une reproduction des inscriptions portées au registre ;
b) Un certificat constatant qu'il n'existe pas d'inscription.</t>
  </si>
  <si>
    <t xml:space="preserve">
Sous réserve des dispositions de l'article L. 122-6-1, le droit d'exploitation appartenant à l'auteur d'un logiciel
comprend le droit d'effectuer et d'autoriser :
1° La reproduction permanente ou provisoire d'un logiciel en tout ou partie par tout moyen et sous toute
forme. Dans la mesure où le chargement, l'affichage, l'exécution, la transmission ou le stockage de ce logiciel
nécessitent une reproduction, ces actes ne sont possibles qu'avec l'autorisation de l'auteur ;
2° La traduction, l'adaptation, l'arrangement ou toute autre modification d'un logiciel et la reproduction du
logiciel en résultant ;
3° La mise sur le marché à titre onéreux ou gratuit, y compris la location, du ou des exemplaires d'un logiciel
par tout procédé. Toutefois, la première vente d'un exemplaire d'un logiciel dans le territoire d'un Etat membre
de la Communauté européenne ou d'un Etat partie à l'accord sur l'Espace économique européen par l'auteur ou
avec son consentement épuise le droit de mise sur le marché de cet exemplaire dans tous les Etats membres à
l'exception du droit d'autoriser la location ultérieure d'un exemplaire</t>
  </si>
  <si>
    <t xml:space="preserve">
La cession par l'auteur de ses droits sur son oeuvre peut être totale ou partielle. Elle doit comporter au profit de
l'auteur une rémunération appropriée et proportionnelle aux recettes provenant de la vente ou de l'exploitation.
Toutefois, la rémunération de l'auteur peut être évaluée forfaitairement dans les cas suivants :
1° La base de calcul de la participation proportionnelle ne peut être pratiquement déterminée ;
2° Les moyens de contrôler l'application de la participation font défaut ;
3° Les frais des opérations de calcul et de contrôle seraient hors de proportion avec les résultats à atteindre ;
4° La nature ou les conditions de l'exploitation rendent impossible l'application de la règle de la rémunération
proportionnelle, soit que la contribution de l'auteur ne constitue pas l'un des éléments essentiels de la création
p.29 Code de la propriété intellectuelle
Partie législative - Première partie : La propriété littéraire et artistique - Livre Ier : Le droit d'auteur
intellectuelle de l'oeuvre, soit que l'utilisation de l'oeuvre ne présente qu'un caractère accessoire par rapport
à l'objet exploité ;
5° En cas de cession des droits portant sur un logiciel ;
6° Dans les autres cas prévus au présent code.
Est également licite la conversion entre les parties, à la demande de l'auteur, des droits provenant des contrats
en vigueur en annuités forfaitaires pour des durées à déterminer entre les parties.</t>
  </si>
  <si>
    <t xml:space="preserve">
Sans préjudice des dispositions de la loi du 17 mars 1909 relative à la vente et au nantissement des fonds
de commerce, le droit d'exploitation de l'auteur d'un logiciel défini à l'article L. 122-6 peut faire l'objet d'un
nantissement dans les conditions suivantes :
Le contrat de nantissement est, à peine de nullité, constaté par un écrit.
Le nantissement est inscrit, à peine d'inopposabilité, sur un registre spécial tenu par l'Institut national de la
propriété industrielle. L'inscription indique précisément l'assiette de la sûreté et notamment les codes source
et les documents de fonctionnement.
Le rang des inscriptions est déterminé par l'ordre dans lequel elles sont requises.
Les inscriptions de nantissement sont, sauf renouvellement préalable, périmées à l'expiration d'une durée de
cinq ans.
Un décret en Conseil d'Etat fixera les conditions d'application du présent article</t>
  </si>
  <si>
    <t xml:space="preserve">
Pour l'application des articles L. 137-2 à L. 137-4, est qualifiée de fournisseur d'un service de partage de
contenus en ligne la personne qui fournit un service de communication au public en ligne dont l'objectif
principal ou l'un des objectifs principaux est de stocker et de donner au public accès à une quantité importante
d'oeuvres ou d'autres objets protégés téléversés par ses utilisateurs, que le fournisseur de service organise et
promeut en vue d'en tirer un profit, direct ou indirect.
Cette définition ne comprend pas les encyclopédies en ligne à but non lucratif, les répertoires éducatifs
et scientifiques à but non lucratif, les plateformes de développement et de partage de logiciels libres, les
fournisseurs de services de communications électroniques au sens de la directive (UE) 2018/1972 du 11
décembre 2018 établissant le code des communications électroniques européen, les fournisseurs de places de
marché en ligne, les services en nuage entre entreprises et les services en nuage qui permettent aux utilisateurs
de téléverser des contenus pour leur usage strictement personnel.
Les dispositions prévues au III de l'article L. 137-2 ne s'appliquent pas aux services de communication au
public en ligne dont l'objet est de porter atteinte aux droits d'auteurs et aux droits voisins.
L'évaluation de la quantité importante d'oeuvres et objets protégés mentionnée au premier alinéa tient compte
notamment du nombre de fichiers de contenus protégés téléversés par les utilisateurs du service, du type
d'oeuvres téléversées et de l'audience du service. Les modalités d'application du présent alinéa sont définies
par décret en Conseil d'Etat.</t>
  </si>
  <si>
    <t xml:space="preserve">
I.-Pour l'exercice des missions mentionnées à l'article L. 331-12, l'Autorité de régulation de la communication
audiovisuelle et numérique dispose d'agents publics assermentés devant l'autorité judiciaire et habilités par
son président dans des conditions fixées par décret en Conseil d'Etat. Cette habilitation ne dispense pas de
l'application des dispositions définissant les procédures autorisant l'accès aux secrets protégés par la loi.
II.-Pour l'exercice de la mission prévue au paragraphe 1 de la sous-section 3 de la présente section, les agents
mentionnés au I du présent article reçoivent les saisines adressées à l'autorité dans les conditions prévues à
l'article L. 331-19.
Ces agents peuvent obtenir des opérateurs de communications électroniques l'identité, l'adresse postale, les
adresses électroniques dont ceux-ci disposent ainsi que les coordonnées téléphoniques de l'abonné dont l'accès
à des services de communication au public en ligne a été utilisé à des fins de reproduction, de représentation,
de mise à disposition ou de communication au public d'oeuvres ou d'objets protégés sans l'autorisation des
titulaires des droits prévus aux livres Ier et II, lorsqu'elle est requise.
III.-Pour l'exercice des missions prévues aux articles L. 331-25 et L. 331-27, les agents habilités et assermentés
de l'Autorité de régulation de la communication audiovisuelle et numérique peuvent constater les faits
susceptibles de constituer des infractions prévues aux articles L. 335-3 et L. 335-4 lorsqu'ils sont commis
sur les réseaux de communications électroniques utilisés pour la fourniture de services de communication au
public en ligne.
Dans ce cadre, les agents habilités et assermentés de l'autorité peuvent, sans en être tenus pénalement
responsables :
1° Participer sous un pseudonyme à des échanges électroniques susceptibles de se rapporter à ces infractions ;
2° Reproduire des oeuvres ou des objets protégés sur les services de communication au public en ligne ;
3° Extraire, acquérir ou conserver par ce moyen des éléments de preuve sur ces services aux fins de la
caractérisation des faits susceptibles de constituer des infractions ;
4° Acquérir et étudier les matériels et les logiciels propres à faciliter la commission d'actes de contrefaçon.
A peine de nullité, ces actes ne peuvent avoir pour effet d'inciter autrui à commettre une infraction.
Les agents mentionnés au premier alinéa du présent III consignent les informations ainsi recueillies dans
un procès-verbal qui rend compte des conditions dans lesquelles les facultés reconnues aux 1° à 4° ont été
employées.</t>
  </si>
  <si>
    <t xml:space="preserve">
Tout éditeur de logiciel, tout fabricant de système technique et tout exploitant de service peut, en cas de
refus d'accès aux informations essentielles à l'interopérabilité, demander à l'Autorité de régulation de la
communication audiovisuelle et numérique de garantir l'interopérabilité des systèmes et des services existants,
dans le respect des droits des parties, et d'obtenir du titulaire des droits sur la mesure technique les informations
essentielles à cette interopérabilité. A compter de sa saisine, l'autorité dispose d'un délai de quatre mois pour
rendre sa décision.
On entend par informations essentielles à l'interopérabilité la documentation technique et les interfaces de
programmation nécessaires pour permettre à un dispositif technique d'accéder, y compris dans un standard
ouvert au sens de l'article 4 de la loi n° 2004-575 du 21 juin 2004 pour la confiance dans l'économie numérique,
à une oeuvre ou à un objet protégé par une mesure technique et aux informations sous forme électronique
jointes, dans le respect des conditions d'utilisation de l'oeuvre ou de l'objet protégé qui ont été définies à
l'origine.
Le titulaire des droits sur la mesure technique ne peut imposer au bénéficiaire de renoncer à la publication du
code source et de la documentation technique de son logiciel indépendant et interopérant que s'il apporte la
preuve que celle-ci aurait pour effet de porter gravement atteinte à la sécurité et à l'efficacité de ladite mesure
technique.
L'autorité peut accepter des engagements proposés par les parties et de nature à mettre un terme aux pratiques
contraires à l'interopérabilité. A défaut d'un accord entre les parties et après avoir mis les intéressés à même
de présenter leurs observations, elle rend une décision motivée de rejet de la demande ou émet une injonction
prescrivant, au besoin sous astreinte, les conditions dans lesquelles le demandeur peut obtenir l'accès aux
informations essentielles à l'interopérabilité et les engagements qu'il doit respecter pour garantir l'efficacité et
l'intégrité de la mesure technique, ainsi que les conditions d'accès et d'usage du contenu protégé. L'astreinte
prononcée par l'autorité est liquidée par cette dernière.
L'autorité a le pouvoir d'infliger une sanction pécuniaire applicable soit en cas d'inexécution de ses injonctions,
soit en cas de non-respect des engagements qu'elle a acceptés. Chaque sanction pécuniaire est proportionnée
à l'importance du dommage causé aux intéressés, à la situation de l'organisme ou de l'entreprise sanctionné et
à l'éventuelle réitération des pratiques contraires à l'interopérabilité. Elle est déterminée individuellement et
de façon motivée. Son montant maximum s'élève à 5 % du montant du chiffre d'affaires mondial hors taxes
le plus élevé réalisé au cours d'un des exercices clos depuis l'exercice précédant celui au cours duquel les
pratiques contraires à l'interopérabilité ont été mises en oeuvre dans le cas d'une entreprise et à 1,5 million
d'euros dans les autres cas.
Les décisions de l'autorité sont rendues publiques dans le respect des secrets protégés par la loi. Elles sont
notifiées aux parties qui peuvent introduire un recours devant la cour d'appel de Paris. Le recours a un effet
suspensif.
Le président de l'autorité saisit l'Autorité de la concurrence des abus de position dominante et des pratiques
entravant le libre exercice de la concurrence dont il pourrait avoir connaissance dans le secteur des mesures
techniques. Cette saisine peut être introduite dans le cadre d'une procédure d'urgence, dans les conditions
prévues à l'article L. 464-1 du code de commerce. Le président de l'autorité peut également la saisir, pour avis,
de toute autre question relevant de sa compétence. L'Autorité de la concurrence communique à l'Autorité de
régulation de la communication audiovisuelle et numérique toute saisine entrant dans le champ de compétence
p.117 Code de la propriété intellectuelle
Partie législative - Première partie : La propriété littéraire et artistique - Livre III : Dispositions générales relatives au droit d'auteur, aux droits voisins et droits des producteurs de bases de données
de cette dernière autorité. Elle recueille son avis sur les pratiques dont elle est saisie dans le secteur des mesures
techniques mentionnées à l'article L. 331-5 du présent code.</t>
  </si>
  <si>
    <t>La contrefaçon de logiciels et de bases de données peut être prouvée par tout moyen.
A cet effet, toute personne ayant qualité pour agir en contrefaçon est en droit de faire procéder en tout lieu
et par tous huissiers, le cas échéant assistés d'experts désignés par le demandeur, en vertu d'une ordonnance
rendue sur requête par la juridiction civile compétente, soit à la description détaillée, avec ou sans prélèvement
d'échantillons, soit à la saisie réelle du logiciel ou de la base de données prétendument contrefaisants ainsi que
de tout document s'y rapportant. La saisie-description peut se concrétiser par une copie des logiciels ou des
bases de données prétendument contrefaisants.
La juridiction peut ordonner, aux mêmes fins probatoires, la description détaillée ou la saisie réelle des
matériels et instruments utilisés pour produire ou distribuer un logiciel ou une base de données prétendument
contrefaisants, ainsi que de tout document s'y rapportant.
L'ordonnance peut autoriser la saisie réelle de tout document se rapportant aux logiciels, bases de données,
matériels et instruments mentionnés aux deuxième et troisième alinéas en l'absence de ces derniers.
La juridiction peut subordonner l'exécution des mesures qu'elle ordonne à la constitution par le demandeur
de garanties destinées à assurer l'indemnisation éventuelle du défendeur si l'action en contrefaçon est
ultérieurement jugée non fondée ou la saisie annulée.
A défaut pour le demandeur, dans un délai fixé par voie réglementaire, soit de s'être pourvu au fond, par la voie
civile ou pénale, soit d'avoir déposé une plainte devant le procureur de la République, l'intégralité de la saisie,
y compris la description, est annulée à la demande du saisi ou du tiers saisi, sans que celui-ci ait à motiver sa
demande et sans préjudice des dommages et intérêts qui peuvent être réclamés</t>
  </si>
  <si>
    <t xml:space="preserve">
Est puni de trois ans d'emprisonnement et de 300 000 euros d'amende le fait :
1° D'éditer, de mettre à la disposition du public ou de communiquer au public, sciemment et sous quelque
forme que ce soit, un logiciel manifestement destiné à la mise à disposition du public non autorisée d'oeuvres
ou d'objets protégés ;
2° D'inciter sciemment, y compris à travers une annonce publicitaire, à l'usage d'un logiciel mentionné au 1</t>
  </si>
  <si>
    <t xml:space="preserve">
I. Les actes prévus aux 1° et 2° de l'article L. 122-6 ne sont pas soumis à l'autorisation de l'auteur lorsqu'ils
sont nécessaires pour permettre l'utilisation du logiciel, conformément à sa destination, par la personne ayant
le droit de l'utiliser, y compris pour corriger des erreurs.
Toutefois, l'auteur est habilité à se réserver par contrat le droit de corriger les erreurs et de déterminer les
modalités particulières auxquelles seront soumis les actes prévus aux 1° et 2° de l'article L. 122-6, nécessaires
pour permettre l'utilisation du logiciel, conformément à sa destination, par la personne ayant le droit de l'utiliser.
II. La personne ayant le droit d'utiliser le logiciel peut faire une copie de sauvegarde lorsque celle-ci est
nécessaire pour préserver l'utilisation du logiciel.
III. La personne ayant le droit d'utiliser le logiciel peut sans l'autorisation de l'auteur observer, étudier ou tester
le fonctionnement ou la sécurité de ce logiciel afin de déterminer les idées et principes qui sont à la base de
n'importe quel élément du logiciel lorsqu'elle effectue toute opération de chargement, d'affichage, d'exécution,
de transmission ou de stockage du logiciel qu'elle est en droit d'effectuer.
IV. La reproduction du code du logiciel ou la traduction de la forme de ce code n'est pas soumise à l'autorisation
de l'auteur lorsque la reproduction ou la traduction au sens du 1° ou du 2° de l'article L. 122-6 est indispensable
pour obtenir les informations nécessaires à l'interopérabilité d'un logiciel créé de façon indépendante avec
d'autres logiciels, sous réserve que soient réunies les conditions suivantes :
1° Ces actes sont accomplis par la personne ayant le droit d'utiliser un exemplaire du logiciel ou pour son
compte par une personne habilitée à cette fin ;
2° Les informations nécessaires à l'interopérabilité n'ont pas déjà été rendues facilement et rapidement
accessibles aux personnes mentionnées au 1° ci-dessus ;
3° Et ces actes sont limités aux parties du logiciel d'origine nécessaires à cette interopérabilité.
Les informations ainsi obtenues ne peuvent être :
1° Ni utilisées à des fins autres que la réalisation de l'interopérabilité du logiciel créé de façon indépendante ;
2° Ni communiquées à des tiers sauf si cela est nécessaire à l'interopérabilité du logiciel créé de façon
indépendante ;
3° Ni utilisées pour la mise au point, la production ou la commercialisation d'un logiciel dont l'expression est
substantiellement similaire ou pour tout autre acte portant atteinte au droit d'auteur.
V.-Les actes mentionnés au 1° de l'article L. 122-6 ne sont pas soumis à l'autorisation de l'auteur lorsqu'ils sont
effectués aux fins et dans les conditions mentionnées au 8° de l'article L. 122-5.
VI.-Les actes mentionnés aux 1° et 2° de l'article L. 122-6 ne sont pas soumis à l'autorisation de l'auteur
lorsqu'ils sont effectués aux fins et dans les conditions mentionnées au III de l'article L. 122-5-3.
VII.-Les actes mentionnés à l'article L. 122-6 ne sont pas soumis à l'autorisation de l'auteur lorsqu'ils sont
effectués aux fins et dans les conditions mentionnées aux 12° et 13° de l'article L. 122-5.
VIII. Le présent article ne saurait être interprété comme permettant de porter atteinte à l'exploitation normale
du logiciel ou de causer un préjudice injustifié aux intérêts légitimes de l'auteur.
Toute stipulation contraire aux dispositions prévues aux II, III et IV du présent article est nulle et non avenue.</t>
  </si>
  <si>
    <t xml:space="preserve">
Toute publicité ou notice d'utilisation relative aux moyens permettant la suppression ou la neutralisation de tout
dispositif technique protégeant un logiciel doit mentionner que l'utilisation illicite de ces moyens est passible
des sanctions prévues en cas de contrefaçon.
Un décret en Conseil d'Etat fixera les conditions d'application du présent article</t>
  </si>
  <si>
    <t xml:space="preserve">
Est également un délit de contrefaçon toute reproduction, représentation ou diffusion, par quelque moyen que
ce soit, d'une oeuvre de l'esprit en violation des droits de l'auteur, tels qu'ils sont définis et réglementés par la loi.
Est également un délit de contrefaçon la violation de l'un des droits de l'auteur d'un logiciel définis à l'article</t>
  </si>
  <si>
    <t xml:space="preserve">
Est puni de trois ans d'emprisonnement et de 300 000 euros d'amende le fait pour toute personne :
a) De détenir sans motif légitime, d'importer ou d'exporter des marchandises présentées sous une marque
contrefaisante ;
b) D'offrir à la vente ou de vendre des marchandises présentées sous une marque contrefaisante ;
c) De reproduire, d'imiter, d'utiliser, d'apposer, de supprimer, de modifier une marque, une marque collective
ou une marque de garantie en violation des droits conférés par son enregistrement et des interdictions qui
découlent de celui-ci. L'infraction, prévue dans les conditions prévues au présent c, n'est pas constituée
lorsqu'un logiciel d'aide à la prescription permet, si le prescripteur le décide, de prescrire en dénomination
commune internationale, selon les règles de bonne pratique prévues à l'article L. 161-38 du code de la sécurité
sociale ;
d) De sciemment livrer un produit ou fournir un service autre que celui qui lui est demandé sous une marque
enregistrée.
L'infraction, dans les conditions prévues au d, n'est pas constituée en cas d'exercice par un pharmacien de la
faculté de substitution prévue à l'article L. 5125-23 du code de la santé publique.
Lorsque les délits prévus aux a à d ont été commis en bande organisée ou sur un réseau de communication au
public en ligne ou lorsque les faits portent sur des marchandises dangereuses pour la santé ou la sécurité de
l'homme ou l'animal, les peines sont portées à sept ans d'emprisonnement et à 750 000 euros d'amende</t>
  </si>
  <si>
    <t>R-132-10</t>
  </si>
  <si>
    <t>L-131-2</t>
  </si>
  <si>
    <t>L-132-1</t>
  </si>
  <si>
    <t>L-131-1</t>
  </si>
  <si>
    <t xml:space="preserve">
La demande d'inscription du nantissement est réalisée par le dépôt d'un bordereau dont la forme est déterminée
par décision du directeur général de l'Institut national de la propriété industrielle.
Le bordereau comprend les indications suivantes :
1° Les nom, prénoms, domicile ou la dénomination sociale, forme juridique et siège social du créancier et
du débiteur ;
2° La désignation du logiciel par son nom, sa marque avec l'indication précise de tous éléments d'identification
et caractéristiques tels que la désignation du code-source, des documents de fonctionnement et des mises à
jour ainsi que, le cas échéant, les références d'un dépôt du logiciel ;
3° La nature et la date de l'acte constitutif du nantissement ;
4° Le montant de la créance exprimée dans l'acte, son exigibilité, les conditions relatives aux intérêts ainsi
que les frais accessoires.
A ce bordereau sont joints :
- un des originaux de l'acte constitutif du nantissement ;
p.269 Code de la propriété intellectuelle
Partie réglementaire - Livre Ier : Le droit d'auteur - Titre III : Exploitation des droits
- une reproduction de l'acte susmentionné lorsque le demandeur entend que l'original ou l'expédition lui soit
restitué ;
- la justification du paiement de la redevance prescrite ;</t>
  </si>
  <si>
    <t>Les documents imprimés, graphiques, photographiques, sonores, audiovisuels, multimédias, quel que soit leur procédé technique de production, d'édition ou de diffusion, font l'objet d'un dépôt obligatoire, dénommé dépôt légal, dès lors qu'ils sont mis à la disposition d'un public.
Les logiciels et les bases de données sont soumis à l'obligation de dépôt légal dès lors qu'ils sont mis à disposition d'un public par la diffusion d'un support matériel, quelle que soit la nature de ce support.
Sont également soumis au dépôt légal les signes, signaux, écrits, images, sons ou messages de toute nature faisant l'objet d'une communication au public par voie électronique.</t>
  </si>
  <si>
    <t>Le dépôt légal consiste en la remise du document à l'organisme dépositaire ou en son envoi en franchise postale, en un nombre limité d'exemplaires.
Un décret en Conseil d'Etat fixe :
a) Les conditions dans lesquelles il peut être satisfait à l'obligation de dépôt légal par d'autres moyens, notamment par l'enregistrement des émissions faisant l'objet d'une radiodiffusion sonore ou d'une télédiffusion ;
b) Les modalités d'application particulières à chaque catégorie de personnes mentionnées à l'article L. 132-2, ainsi que les conditions dans lesquelles certaines de ces personnes peuvent être exemptées de l'obligation de dépôt légal ;
c) Les exceptions à l'obligation de dépôt pour les catégories de documents dont la collecte et la conservation ne présentent pas un intérêt suffisant au regard des objectifs définis à l'article L. 131-1 ;
d) Les modalités selon lesquelles une sélection des documents à déposer peut être faite lorsque les objectifs définis à l'article L. 131-1 peuvent être atteints sans que la collecte et la conservation de la totalité des documents soient nécessaires.</t>
  </si>
  <si>
    <t>Le dépôt légal est organisé en vue de permettre :
a) La collecte et la conservation des documents mentionnés à l'article L. 131-2 ;
b) La constitution et la diffusion de bibliographies nationales ;
c) La consultation des documents mentionnés à l'article L. 131-2, sous réserve des secrets protégés par la loi, dans les conditions conformes à la législation sur la propriété intellectuelle et compatibles avec leur conservation.
Les organismes dépositaires doivent se conformer à la législation sur la propriété intellectuelle sous réserve des dispositions particulières prévues par le présent titre.</t>
  </si>
  <si>
    <t>oui</t>
  </si>
  <si>
    <t>Non</t>
  </si>
  <si>
    <t>Oui</t>
  </si>
  <si>
    <t>Les systèmes informatiques et les réseaux relevant des divers organismes publics sont soumis à un régime d’audit obligatoire et périodique de la sécurité informatique, à l’exception des systèmes informatiques et des réseaux appartenant aux ministères de la défense nationale et de l’intérieur et du développement local.
Sont, également, soumis à l’audit obligatoire périodique de la sécurité informatique, les systèmes informatiques et les réseaux des organismes qui seront fixés par décret.
Sont fixés par décret, les critères relatifs à la nature de l’audit, à sa périodicité et aux procédures de suivi de l’application des recommandations contenues dans le rapport d’audit.</t>
  </si>
  <si>
    <t>Code pénal tunisien</t>
  </si>
  <si>
    <t>Art 199 bis</t>
  </si>
  <si>
    <t xml:space="preserve"> Est puni d'un emprisonnement de deux mois à un an et d'une amende de mille dinars ou de l'une de ces deux peines seulement, quiconque, frauduleusement, aura accédé ou se sera maintenu dans tout ou partie d'un système de traitement automatisé de données. La peine est élevée à deux ans d'emprisonnement et l'amende à deux mille dinars lorsqu'il en résulte, même sans intention, une altération ou la destruction du fonctionnement des données existantes dans le système indiqué. Est puni d'un emprisonnement de trois ans et d'une amende de trois mille dinars, quiconque aura intentionnellement altéré ou détruit le fonctionnement du traitement automatisé. Est puni d'un emprisonnement de cinq ans et d'une amende de cinq mille dinars, quiconque aura frauduleusement introduit des données dans un système de traitement automatisé de nature à altérer les données que contient le programme ou son mode de traitement ou de transmission. La peine est portée au double lorsque l'acte susvisé est commis par une personne à l'occasion de l'exercice de son activité professionnelle. La tentative est punissable. </t>
  </si>
  <si>
    <t xml:space="preserve"> Est puni d'un emprisonnement de deux ans et d'une amende de deux mille dinars, quiconque aura introduit une modification de quelque nature qu'elle soit sur le contenu de documents informatisés ou électroniques originairement véritable, à condition qu'elle porte un préjudice à autrui. 72Est puni des mêmes peines, quiconque aura sciemment détenu ou fait usage des documents susvisés. La peine est portée au double lorsque les faits susvisés sont commis par un fonctionnaire public ou assimilé. La tentative est punissable. </t>
  </si>
  <si>
    <t>Art 199 ter</t>
  </si>
  <si>
    <r>
      <t xml:space="preserve">Les entités doivent </t>
    </r>
    <r>
      <rPr>
        <b/>
        <sz val="12"/>
        <rFont val="Times New Roman"/>
        <family val="1"/>
      </rPr>
      <t>créer ou adhérer à un Centres de réponse aux urgences cybernétiques</t>
    </r>
    <r>
      <rPr>
        <sz val="12"/>
        <rFont val="Times New Roman"/>
        <family val="1"/>
      </rPr>
      <t xml:space="preserve">, qui </t>
    </r>
    <r>
      <rPr>
        <b/>
        <sz val="12"/>
        <rFont val="Times New Roman"/>
        <family val="1"/>
      </rPr>
      <t>coordonne avec le point national</t>
    </r>
    <r>
      <rPr>
        <sz val="12"/>
        <rFont val="Times New Roman"/>
        <family val="1"/>
      </rPr>
      <t>.</t>
    </r>
  </si>
  <si>
    <r>
      <t xml:space="preserve">En cas d’incident, les entités </t>
    </r>
    <r>
      <rPr>
        <b/>
        <sz val="12"/>
        <rFont val="Times New Roman"/>
        <family val="1"/>
      </rPr>
      <t>doivent informer immédiatement le Centre de réponse aux urgences cybernétiques ou le point national</t>
    </r>
    <r>
      <rPr>
        <sz val="12"/>
        <rFont val="Times New Roman"/>
        <family val="1"/>
      </rPr>
      <t xml:space="preserve"> et </t>
    </r>
    <r>
      <rPr>
        <b/>
        <sz val="12"/>
        <rFont val="Times New Roman"/>
        <family val="1"/>
      </rPr>
      <t>appliquer les mesures d’urgence</t>
    </r>
    <r>
      <rPr>
        <sz val="12"/>
        <rFont val="Times New Roman"/>
        <family val="1"/>
      </rPr>
      <t>.</t>
    </r>
  </si>
  <si>
    <t>L'auteur d'une œuvre de l'esprit a un droit exclusif, moral et patrimonial, du seul fait de sa création. Ce droit reste valable même en cas de contrat de travail ou de service.</t>
  </si>
  <si>
    <t>Liste les œuvres reconnues comme œuvres de l'esprit (livres, musiques, logiciels, etc.) protégées par le droit d’auteur.</t>
  </si>
  <si>
    <t>Auteur</t>
  </si>
  <si>
    <t>Version</t>
  </si>
  <si>
    <t>Élément</t>
  </si>
  <si>
    <t>Contenu</t>
  </si>
  <si>
    <t>Titre du document</t>
  </si>
  <si>
    <t>Veille réglementaire – Cybersécurité, Protection des données personnelles et Droits d’auteur (France &amp; Tunisie)</t>
  </si>
  <si>
    <t>Dernière mise à jour</t>
  </si>
  <si>
    <t>Source principale</t>
  </si>
  <si>
    <t>Réferences</t>
  </si>
  <si>
    <t>Lien</t>
  </si>
  <si>
    <t>Décret n° 2007-3004 du 27 novembre 2007,</t>
  </si>
  <si>
    <t>Le Décret n° 2007-3004 du 27 novembre 2007, portant sur les conditions et procédures de déclaration et d'autorisation pour le traitement des données à caractère personnel</t>
  </si>
  <si>
    <t>Loi organique n° 2004-63 du 27 juillet</t>
  </si>
  <si>
    <t>Arrêté du ministre des technologies de la communication du 12 septembre 2023,</t>
  </si>
  <si>
    <t>,</t>
  </si>
  <si>
    <t xml:space="preserve">loi n° 66 – 12 du 14 février 1966 </t>
  </si>
  <si>
    <t>Décret-loi n° 2022-54 du 13 septembre 2022</t>
  </si>
  <si>
    <t>Loi n° 2001—21 du 6 février 2002</t>
  </si>
  <si>
    <t>Loi de programmation militaire</t>
  </si>
  <si>
    <t>LPM</t>
  </si>
  <si>
    <t>Loi 2004-575</t>
  </si>
  <si>
    <t>DORA</t>
  </si>
  <si>
    <t>NIS 2</t>
  </si>
  <si>
    <t>CRA</t>
  </si>
  <si>
    <t>CR</t>
  </si>
  <si>
    <t>CPI</t>
  </si>
  <si>
    <t>Loi 2006-961</t>
  </si>
  <si>
    <t>CP</t>
  </si>
  <si>
    <t xml:space="preserve">LOI n° 2009-669 du 12 juin 2009 </t>
  </si>
  <si>
    <t>Pays</t>
  </si>
  <si>
    <t>Tunisie</t>
  </si>
  <si>
    <t>France</t>
  </si>
  <si>
    <t xml:space="preserve">Ala Eddine Errachid </t>
  </si>
  <si>
    <t>legifrance.gouv.fr/ legislation-securite.tn /JORT</t>
  </si>
  <si>
    <t xml:space="preserve">oui </t>
  </si>
  <si>
    <t xml:space="preserve">
Est interdit le traitement des données à caractère personnel qui concernent, directement ou
indirectement, l’origine raciale ou génétique, les convictions religieuses, les opinions
politiques, philosophiques ou syndicales, ou la santé.
Toutefois, le traitement visé au paragraphe précédent est possible lorsqu’il est effectué avec le
consentement exprès de la personne concernée donné par n’importe quel moyen laissant une
trace écrite, ou lorsque ces données ont acquit un aspect manifestement public, ou lorsque ce
traitement s’avère nécessaire à des fins historiques ou scientifiques, ou lorsque ce traitement est
nécessaire à la sauvegarde des intérêts vitaux de la personne concernée.
Le traitement des données à caractère personnel relatives à la santé est régi par les
dispositions du cinquième chapitre de la présente loi.</t>
  </si>
  <si>
    <t>Le responsable du traitement, lorsqu’il confie aux tiers certaines opérations de traitement ou
leur totalité dans le cadre d’un contrat de sous-traitance, doit choisir scrupuleusement le soustraitant.
Le sous-traitant doit respecter les dispositions de la présente loi et ne doit agir que dans les
limites autorisées par le responsable du traitement ; il doit disposer, en outre, de tous les
moyens techniques nécessaires et appropriés pour accomplir les missions dont il a la charge.
Le responsable du traitement et le sous-traitant engagent leur responsabilité civile en cas de
violation des dispositions de la présente loi.</t>
  </si>
  <si>
    <t>non</t>
  </si>
  <si>
    <t xml:space="preserve">
La collecte des données à caractère personnel ne s’effectue qu’auprès des personnes
concernées directement.
La collecte des données à caractère personnel opérée auprès des tiers n’est admise qu’avec le
consentement de la personne concernée, de ses héritiers ou de son tuteur. Le consentement
n’est pas requis lorsque la collecte des données auprès des tiers est prévue par la loi, ou lorsque
la collecte auprès de la personne concernée implique des efforts disproportionnés, ou s’il
s’avère manifestement que la collecte n’affecte pas ses intérêts légitimes, ou lorsque la
personne concernée est décédée.
Lorsque la personne concernée est un enfant, les dispositions de l’article 28 de la présente loi
s’appliquent.</t>
  </si>
  <si>
    <t xml:space="preserve">
Les données à caractère personnel communiquées ou susceptibles d’être communiquées aux
personnes visées à l’article 53 de la présente loi ne peuvent être détruites ou radiées qu’après
l’obtention de l’avis desdites personnes ainsi que l’autorisation de l’Instance Nationale de
Protection des Données à caractère personnel.
L’Instance statue sur la demande dans un délai ne dépassant pas un mois à partir de son
introduction.</t>
  </si>
  <si>
    <t xml:space="preserve">
Il est interdit, dans tous les cas, de communiquer ou de transférer des données à caractère
personnel vers un pays étranger lorsque ceci est susceptible de porter atteinte à la sécurité
publique ou aux intérêts vitaux de la Tunisie.</t>
  </si>
  <si>
    <t xml:space="preserve"> Les fournisseurs de services de télécommunications doivent conserver les données stockées dans un système d’information pendant une durée fixée par arrêté conjoint des ministres de la défense nationale, de l’intérieur, de la justice ainsi que du ministre chargé des télécommunications, et ce, selon la nature du service, à condition que cette période ne soit pas inférieure à deux ans à compter de la date d’enregistrement des données.
Les données qui doivent être conservées sont :
les données permettant d’identifier les utilisateurs du service,
les données relatives au flux de trafic,
les données relatives aux terminaux de la communication.
les données relatives à la localisation géographique de l’utilisateur.
les données relatives à l’accès et à l’exploitation de contenu à valeur ajoutée protégé.</t>
  </si>
  <si>
    <t>Aborgé par LA LOI N° 94-36, du 24 février 1994, RELATIVE À LA PROPRIÉTÉ LITTÉRAIRE ET ARTISTIQUE,</t>
  </si>
  <si>
    <t xml:space="preserve"> L’auteur d’une œuvre est sauf preuve contraire, celui sous le nom de qui l’œuvre est divulguée.
Toutefois, lorsque l’œuvre est produite par des agents d’une personne morale publique ou privée dans le cadre de leurs fonctions, le droit d’auteur revient aux dits-agents, sauf stipulation contraire découlant d’un contrat existant entre les deux parties, et exception faite du producteur d’œuvres cinématographiques et audio-visuelles, qui demeure le propriétaire du droit d’auteur.
L’auteur de l’œuvre, son représentant ou ses ayants droit peuvent déclarer ou déposer leurs œuvres auprès de l’organisme chargé de la gestion collective des droits d’auteur et des droits voisins.
La déclaration ou le dépôt fait foi à l’égard des tiers jusqu’à preuve du contraire.[4]</t>
  </si>
  <si>
    <t xml:space="preserve">
Les droits moraux de l’auteur comprennent le droit exclusif d’accomplir les actes suivants :
a) De mettre son oeuvre à la disposition du public et revendiquer sa paternité en utilisant son
nom ou un pseudonyme, ou de conserver l’anonymat.
Le nom de l’auteur doit être indiqué, de manière conforme aux bons usages, chaque fois que
l’oeuvre est communiquée au public et sur tout exemplaire reproduisant le contenu de l’oeuvre,
chaque fois qu’elle est présentée au public, sous un mode ou une forme d’expression quelconque.
b) De s’opposer à toute mutilation, déformation, ajout ou autre modification de son oeuvre sans
son consentement écrit, ainsi qu’à toute autre atteinte à la même oeuvre, préjudiciable à l’
honneur de l’auteur ou à sa réputation.
c) De retirer son oeuvre de la circulation auprès du public, en contre partie d’une juste
indemnité, au profit de l’exploitant autorisé, ayant subi un préjudice.</t>
  </si>
  <si>
    <t xml:space="preserve">
Les droits patrimoniaux de l’auteur représentant des droits exclusifs dont jouit l’auteur de
l’oeuvre, d’exploiter son oeuvre ou d’autoriser son exploitation par autrui, en accomplissant l’un
quelconque des actes suivants :
a) reproduire l’oeuvre par tous procédés et notamment par imprimerie, dessin, enregistrement
audio ou audio-visuel sur bandes magnétiques, disques, disques compacts ou par tout système
informatique et autres moyens.
b) communiquer l’oeuvre au public par tous procédés et notamment par :
- la représentation dans les lieux publics tels que les hôtels, les restaurants, les moyens de
transport terrestre, maritime et aérien, ainsi que les festivals et les salles de spectacles ;
- la représentation dramatique ou exécution publique ;
- diffusion avec ou sans fil des oeuvres en utilisant :
 les moyens de transmission et réception de radio et télévision et électronique et autres ;
 hauts parleurs ou tout autre instrument transmetteur de signes, de sons ou d’images ;
 satellites, câbles, réseaux informatiques ou par d’autres moyens similaires .
c) toute forme d’exploitation de l’oeuvre en général, y compris la location commerciale de
l’original et de ses exemplaires.
d) La traduction, l’adaptation, l’arrangement et autres transformations de l’oeuvre considérées
en vertu de la présente loi comme des oeuvres dérivées .</t>
  </si>
  <si>
    <t xml:space="preserve">
Aucun exploitant autre que le propriétaire de l’oeuvre ou son représentant ne peut procéder à
l’exécution des actes cités à l’article 9-bis- sus-visé s’il ne justifie d’une autorisation préalable de
l’ayant droit ou de son représentant sous forme de contrat écrit indiquant notamment :
a) Le responsable de l’exploitation.
b) Le mode d’exploitation (la forme, la langue, le lieu).
c) La durée d’exploitation.
d) Le montant de la contre partie revenant au titulaire du droit .</t>
  </si>
  <si>
    <t xml:space="preserve">
Sont licites, sans autorisation de l’auteur, ni contre partie, les utilisations indiquées ci-après des
oeuvres protégées qui ont été rendues accessibles au public, sous réserve des dispositions de
l’article 37 de la présente loi :
a) La reproduction de l’oeuvre destinée à l’usage privé, à condition que cette reproduction ne
porte pas atteinte à l’exploitation normale de l’oeuvre, ni cause un préjudice injustifié aux intérêts
matériels légitimes de l’auteur.
4
b) L’utilisation de l’oeuvre à titre d’illustration à des fins d’enseignement, dans des imprimés,
exécutions, représentations dramatiques ou enregistrements audios ou audio-visuels.
c) La reproduction, pour l’enseignement ou pour les examens dans les établissements
d’enseignement, dans un but non commercial, et non lucratif et dans la mesure justifiée par le but
à atteindre, des articles isolés licitement publiés dans un journal ou périodique, de courts extraits
d’une oeuvre ou d’une courte oeuvre licitement publiés, aux conditions suivantes :
1 - Indication de la source de manière complète et du nom de l’auteur, chaque fois où l’oeuvre est
utilisée.
2 - L’utilisation de l’oeuvre à des fins non commerciales ou lucratives.
d) La communication ou la reproduction des articles de presse parus dans des journaux ou
périodiques sur des sujets d’actualité économique, politique ou sociale ; ou des oeuvres
radiodiffusées ayant le même caractère, par voie de presse, de radio ou télévision, ou
communication au public, dans le cas où les droits de communication au public, de reproduction,
ou de radiodiffusion et télédiffusion ne sont pas expressément réservés, avec l’obligation
d’indiquer clairement la source et le nom de l’auteur, si ce nom figure dans la source.
e) La reproduction ou l’enregistrement d’un exemplaire d’une oeuvre protégée en vue de son
utilisation dans une procédure judiciaire ou un contentieux administratif, dans les limites exigées
par ces procédures ou contentieux, tout en indiquant de la source et le nom de l’auteur.
f) Les pastiches, parodies, caricatures d’une oeuvre originale, compte tenu des lois du genre.
g) La reproduction ou la communication d’une oeuvre d’architecture ou des beaux arts, ou d’une
oeuvre des arts appliqués ou d’une oeuvre photographique, lorsqu’elle est située en permanence
dans un lieu public, à l’exception des galeries d’art, musées ou tout patrimoine artistique légué
par les générations antérieures.</t>
  </si>
  <si>
    <t xml:space="preserve">
Sont autorisés les citations et emprunts tirés d'une oeuvre déjà licitement rendue accessible au public, à
condition qu'ils soient conformes au bons usages et dans la mesure où ils sont justifiés par un but scientifique,
éducatif ou d'information, y compris les citations et emprunts d'articles sous forme de revues de presse.
Ces citations et emprunts peuvent être utilisés en version originale ou en traduction et doivent être
accompagnés de la mention de la source et du nom de l'auteur si ce nom figure dans la source.</t>
  </si>
  <si>
    <t xml:space="preserve">
Les bibliothèques publiques, les centres et services non commerciaux d’archives et les bibliothèques des
établissements d’éducation et de formation peuvent, sans l’autorisation de l’auteur, ni contre partie,
reproduire une oeuvre en un ou deux exemplaires, pour la préserver ou la remplacer au cas où elle
serait détruite, perdue ou rendue inutilisable, pour les besoins de l’enseignement et sans que cela n’ait
un but commercial ou lucratif.
Ils peuvent également sans autorisation de l’auteur, ni contre partie, reproduire un article ou un court
extrait d’un écrit, autre qu’un programme d’ordinateur, publié dans une collection d’oeuvres ou dans
un numéro d’un journal ou d’un périodique et lorsque le but de la reproduction est de répondre à la
demande d’une personne physique et aux fins de recherche et d’enseignement.</t>
  </si>
  <si>
    <t xml:space="preserve">
Est rendu licite l'enregistrement, la reproduction et la radiodiffusion des oeuvres littéraires, scientifiques
ou artistiques mentionnées à l'occasion de l'information relative à un événement d'actualité, et ce quelque
soient les moyens utilisés, et dans la limite de ce que le but visé par l'information justifie.</t>
  </si>
  <si>
    <t xml:space="preserve">
Il est permis de présenter les oeuvres créées par les établissements de production radiophonique ou
télévisuelle exerçant dans la république Tunisienne, par leur propres moyens et pour leurs émissions,
conformément à une autorisation des auteurs eux mêmes.
Toutefois et au-delà d'une année, ces établissements ne peuvent plus exploiter les oeuvres en question
que s'ils obtiennent une nouvelle autorisation des auteurs ou de l'organisme chargé des droits d'auteurs et
des droits voisins, et ce en cas d'absence de contrat au profit d'un établissement de radiodiffusion et de
télévision, du droit d'exploiter leur oeuvre. Une copie des enregistrements à caractère culturel, effectués
par la radio ou la télévision doit être conservée dans les archives officielles désignées à cet effet par le
ministre chargé de la culture.
La liste des genres d'enseignements devant être conservés, sera établie par arrêté du ministère chargé de
la culture.</t>
  </si>
  <si>
    <t xml:space="preserve">
La protection est accordée à l’oeuvre du seul fait de sa création quelque soit la forme et le mode
d’expression et même si elle n’est pas fixée sur un support matériel.
La protection des droits patrimoniaux de l’auteur dure pendant toute sa vie, le restant de
l’année de son décès et les cinquante années, à compter du premier janvier de l’année suivant
celle de son décès ou de la date retenue par le jugement déclaratif de son décès, en cas d’absence
ou de disparition.
Pour les oeuvres de collaboration, la protection dure pendant les cinquante années à compter du
premier janvier de l’année suivant celle du décès du dernier auteur collaborateur ou de la date
retenue par le jugement déclaratif de décès, en cas d’absence ou de disparition.
Quant aux oeuvres anonymes ou portant un pseudonyme, la protection dure cinquante années à
compter du premier janvier de l’année suivant celle de la première publication de l’oeuvre , le
droit d’auteur est exercé dans ce cas par l’éditeur ou le distributeur de l’oeuvre.
Si le pseudonyme ne cache pas l’identité de l’auteur au public ou lorsque l’auteur d’une oeuvre
anonyme ou portant un pseudonyme révèle sa vraie identité, la durée de protection est celle
prévue à l’alinéa deux du présent article.
Quant aux oeuvres publiées après la mort de leur auteur, la protection dure cinquante années à
compter du premier janvier de l’année suivant celle de la première publication de l’oeuvre, le
droit d'auteur est exercé dans ce cas par les héritiers et les légataires, dans les limites indiquées
dans la loi en vigueur .</t>
  </si>
  <si>
    <t xml:space="preserve">
La protection des droits patrimoniaux de l’auteur pour les oeuvres photographiques dure
cinquante années à compter de la date de réalisation de l’oeuvre .</t>
  </si>
  <si>
    <t xml:space="preserve">
La cession du droit de communiquer l’oeuvre au public n'implique le droit de la reproduire sur un support
matériel tel que l'enregistrement sur bande à titre d'exemple, de même l’oeuvre qui est enregistrée sur un
support matériel ne peut être communiquée au public sans l'autorisation de l'auteur</t>
  </si>
  <si>
    <t xml:space="preserve">
L'autorisation de diffuser l’oeuvre par l'intermédiaire de la radio ou de la télévision couvre l'ensemble des
émissions réalisées par les Établissements de Radio et de Télévision exerçant en Tunisie par leurs propres
moyens et sous leurs propres responsabilités, sauf stipulation contraire clairement énoncée dans un contrat
conclu entre ceux et l'auteur, quant aux oeuvres de publicité exploitées par un établissement de radio ou de
télévision elles doivent faire l'objet d'un contrat spécifique mentionnant les conditions d'exploitation et le
pourcentage des droits revenant aux auteurs.</t>
  </si>
  <si>
    <t xml:space="preserve">
Le contrat doit, sauf stipulation contraire, prévoir une rémunération proportionnelle aux produits d'exploitation
au profit de l'auteur ou de ses ayants-droit, cette rémunération est payable à la signature du contrat.</t>
  </si>
  <si>
    <t xml:space="preserve">
L'éditeur est tenu de fournir à l'auteur toutes justifications propres à établir l'exactitude de ses comptes.
L'auteur pourra exiger au moins une fois l'an la production par éditeur d'un état comportant :
a) Le nombre d'exemplaires fabriqués en cours d'exercice, avec précision de la date et de l'importance
des tirages. Le tirage d’exemplaires supérieur à celui visé au contrat est réputé illégal. L'auteur pourra
revendiquer les droits relatifs à ces droits. Il pourra en outre demander réparation.
b) Le nombre des exemplaires en stock.
c) Le nombre des exemplaires vendus par l'éditeur, celui des exemplaires
inutilisés ou détruits par cas fortuit ou force majeure.
d) Le montant des redevances dues et éventuellement celui des redevances
versées à l'auteur. Toute clause contraire est réputée non écrite.</t>
  </si>
  <si>
    <t xml:space="preserve">
Le contrat d'édition peut être résilié par l'auteur ou ses ayant-droit lorsque l'éditeur n'a pas procédé à la
publication de l’oeuvre. L'auteur peut également résilier le contrat d'édition dans le cas de non réédition de
l’oeuvre dont le tirage est épuisé.
L'édition est considérée comme épuisée si une demande de livraison d'exemplaires adressée à l'éditeur n'est
pas satisfaite dans les trois mois.</t>
  </si>
  <si>
    <t xml:space="preserve">
L'éditeur ne peut éditer une oeuvre qui n'appartient pas au domaine public sans établir un contrat avec
l'auteur.
En cas d'infraction, l'éditeur doit payer au profit de l'auteur, des dommages et intérêts, outre les droits
d'exploitation de l’oeuvre, conformément aux usages.
Dans le cas où l'auteur est lié à un éditeur par un contrat dûment établi pour une oeuvre déterminée et une
date limitée, il ne peut établir un second contrat avec un autre éditeur pour une même oeuvre sauf
autorisation du premier éditeur suivant un contrat entre les deux parties.
En cas d'infraction, l'auteur, est tenu de verser des dommages et intérêts</t>
  </si>
  <si>
    <t xml:space="preserve">
Aucun exploitant ne peut fabriquer ou faire fabriquer, dans un but commercial, un certain nombre
d'exemplaires d'une oeuvre protégée, par le biais de l'enregistrement mécanique sur disques ou sur bandes
magnétiques (PHONOGRAMME) ou audiovisuelles (VIDEOGRAMME) ou par n'importe quel autre
procédé d'enregistrement sauf par contrat écrit, établi avec l'auteur de l’oeuvre ou son représentant.</t>
  </si>
  <si>
    <t xml:space="preserve">
Le contrat établi avec l'organisme Tunisien chargé de la gestion collective des droits d'auteurs et droits
voisins doit nécessairement comprendre :
a) L'autorisation préalable visée à l'article 9 -ter- de la présente loi ainsi que le délai de sa validité.
b) Les conditions d'exploitation d'après les normes établies par accord entre les parties.
c)Le pourcentage revenant aux bénéficiaires et provenant des recettes d'exploitation, avec la précision des
redevances minimales pour chaque oeuvre.
d) Les délais et les formes de paiement.
e) Les moyens de contrôle susceptibles de permettre aux auteurs et compositeurs de recouvrir leurs droits.
Le contrat contraire aux dispositions de cet article est considéré nul.</t>
  </si>
  <si>
    <t xml:space="preserve">
Le fabriquant d'exemplaires enregistrés sur phonogramme ou vidéogramme ou sur n'importe quel autre
moyen d'enregistrement, est tenu de présenter à l'organisme chargé de la gestion collective des droits
d'auteurs et des droits voisins toutes les justifications de ses comptes et il est en outre tenu de présenter,
aux agents sous-visés dans l'article 54 de la présente loi, toutes les pièces relatives à l'exploitation chaque
fois qu'une requête lui est adressée.</t>
  </si>
  <si>
    <t xml:space="preserve">
Il est interdit de procéder à la fabrication d'exemplaires enregistrées sous forme de phonogramme ou de
vidéogramme ou sous toute autre forme, d'une oeuvre protégée dans un but commercial s'il n'est justifié
d'un contrat conclu avec l'auteur ou avec l'organisme chargé de la gestion collective des droits d'auteurs
et des droits voisins.
Il est également interdit de procéder à des manoeuvres dolosives dans la comptabilité relative aux revenus
des ventes d'enregistrements présentés par les fabricants justifiant d'une autorisation d'enregistrement</t>
  </si>
  <si>
    <t xml:space="preserve">
Chaque exemplaire enregistré des supports d’enregistrement ou autres exemplaires enregistrés
doivent obligatoirement porter :
a- Le nom du producteur responsable juridiquement, ainsi que son sigle et son adresse complète,
b- le sigle de l’organisme chargé de la gestion collective des droits d’auteur et des droits voisins,
et le numéro de l’autorisation,
c- Le titre de l’oeuvre et le numéro d’ordre qui lui est attribué,
d- Les noms des auteurs et des artistes interprètes.</t>
  </si>
  <si>
    <t xml:space="preserve">
La durée de protection des droits patrimoniaux des oeuvres cinématographiques ou audiovisuelles
est de cinquante années à compter de la première représentation publique licite de l’oeuvre .
A défaut de représentation , la durée de cette protection est de cinquante années à compter de
la date de réalisation de la première copie de référence .</t>
  </si>
  <si>
    <t xml:space="preserve">
Sauf stipulation contraire, le logiciel créé par un ou plusieurs salariés d'un organisme dans l'exercice
de leurs fonctions appartient à l'organisme employeur, auquel sont dévolus tous les droits reconnus aux
auteurs.
Les dispositions du premier alinéa du présent article sont également applicables aux agents de l'Etat,
des collectivités publiques locales et des établissements publics.
Toute contestation sur l'application du présent article est soumise à la juridiction compétente du siège
social de l'organisme employeur.</t>
  </si>
  <si>
    <t xml:space="preserve">
Sauf stipulation contractuelle contraire, le logiciel réalisé sur commande et la documentation ayant
servi à sa réalisation demeurent la propriété du producteur.</t>
  </si>
  <si>
    <t xml:space="preserve">
Sauf stipulation contraire, l'auteur ne peut s'opposer à l'adaptation du logiciel par des tiers dans la
limite des droits qu'il leur a cédés.</t>
  </si>
  <si>
    <t xml:space="preserve">
Est interdite toute utilisation d’un programme d’ordinateur non expressément autorisée par
écrit, par son auteur ou son représentant, sauf stipulation contractuelle contraire.
Toutefois, est permis sans autorisation de l’auteur ou son représentant, la réalisation d’une seule
copie de sauvegarde du programme d’ordinateur par le propriétaire de l’exemplaire licite de ce
programme d’ordinateur.</t>
  </si>
  <si>
    <t xml:space="preserve">
Sont applicables aux programmes d’ordinateur, les dispositions de l’article 18 de la
présente Loi.</t>
  </si>
  <si>
    <t xml:space="preserve">
L’Organisme chargé de la gestion collective des droits d’auteur et des droits voisins a
notamment pour mission :
- de sauvegarder les droits d’auteur et les droits voisins, et de défendre les
intérêts matériels et moraux des titulaires de ces droits.
- de représenter ses membres et d’être le mandataire ou le représentant des Organismes
étrangers pour la protection des droits d’auteur et des droits voisins et les membres de ceux–ci,
que ce soit en vertu d’un mandat ou d’un accord de représentation réciproque.
- de recevoir les oeuvres à titre de déclaration ou de dépôt.
de fixer les taux et les montants des redevances dûes aux auteurs et aux titulaires des droits
voisins.
L’ Organisme chargé de la gestion collective des droits d’auteur et des droits voisins est chargé
d’établir des liens avec les Organismes étrangers chargés des droits d’auteurs et des droits
voisins, notamment dans le but :
- De sauvegarder en faveur des auteurs et des titulaires de droits voisins, les droits et avantages
acquis auprès des dits Organismes .
- De signer des conventions de représentation réciproque avec les dits Organismes étrangers .
Le règlement intérieur de l’Organisme chargé de la gestion collective des droits d’auteur et des
droits voisins fixe notamment :
- Les conditions d’adhésion à cet Organisme, ainsi que les obligations et les droits des adhérents,
- Les modalités et les procédures de déclaration ou de dépôt des oeuvres ,
- Les règles de perception des droits et de leur répartition,
- Les conditions et les modalités de délivrance des autorisations d’exploitation des oeuvres .
Le règlement intérieur visé au paragraphe précédent du présent article est approuvé par arrêté
du Ministre chargé de la Culture.</t>
  </si>
  <si>
    <t xml:space="preserve">
Sont interdites, l’importation sur le territoire Tunisien des exemplaires d’une oeuvre par tout
moyen que ce soit, ainsi que la production ou la reproduction ou la distribution ou l’exportation,
ou la commercialisation de ceux-ci , contraire à l'ordre public, aux bonnes moeurs et à la
législation en vigueur, et qui constituent une violation des droits d’auteurs ou des droits voisins
au sens de la présente loi, et des conventions internationales conclues par la Tunisie dans le
domaine des droits d’auteurs et des droits voisins .</t>
  </si>
  <si>
    <t xml:space="preserve">
Les services des douanes peuvent suspendre les procédures de dédouanement concernant les produits
pour lesquels il y a des preuves apparentes d’atteinte aux droits d’auteur ou droits voisins. Ils peuvent
demander de l’auteur ou des titulaires des droits voisins ou leur représentant tout renseignement qui
pourrait les aider à exercer leurs prérogatives.
Les services des douanes informent dans un bref délai l'auteur ou les titulaires des droits voisins ou
leur représentant de cette suspension, ces derniers doivent dans un délai de sept jours de la date de la
notification déposer la demande prévue a l'article 50-ter- de la présente loi .</t>
  </si>
  <si>
    <t xml:space="preserve">
L’auteur, les titulaires de droits voisins ou leur représentant peuvent présenter aux services des
douanes une demande écrite de suspension des procédures de dédouanement à l’importation ou à
l’exportation des produits pour lesquels ils ont des motifs légitimes de soupçonner qu’ils portent
atteinte aux droits d’auteur ou aux droits voisins.
La formule de la demande citée au paragraphe premier du présent article ainsi que les données qui
devront être présentées sont fixées par arrêté conjoint des Ministres chargés des finances et de la
Culture.</t>
  </si>
  <si>
    <t xml:space="preserve">
Le propriétaire, l’importateur, l’exportateur ou le destinataire ont la faculté d’obtenir auprès du
tribunal compétent, la levée de la rétention des produits objet du litige moyennant la
consignation d’un cautionnement suffisant pour protéger les intérêts de l’auteur ou des titulaires
des droits voisins, à condition que :
- les services des douanes aient été informés dans le délai visé à l’article 50-quinquies- de la présente loi de la
saisine du tribunal compétent pour statuer au fond ;
- le tribunal compétent n’ait pas ordonné des mesures conservatoires à l’échéance de ce délai ;
- toutes les formalités douanières aient été accomplies.</t>
  </si>
  <si>
    <t xml:space="preserve">
Quiconque aura porté atteinte aux droits d’auteur et aux droits voisins prévues par la présente loi, sera
tenu de verser au titulaire de ce droit des dommages – intérêts matériels et moraux dont le montant
sera déterminé par la juridiction compétente.</t>
  </si>
  <si>
    <t xml:space="preserve">
Nonobstant les sanctions prévues par des textes spéciaux, sera passible d’une amende de mille à
cinquante mille dinars tout exploitant d’une oeuvre protégée qui n’a pas obtenu une autorisation,
conformément aux dispositions des articles 7,9 -ter-, 13, 47-quater-, 47-sexies-, et 47-noniesde
la présente loi et compte tenu des exceptions et des limites prévues dans les articles 10, 11, 12, 15, 16,
17 et 47 -decies-
En cas de récidive, l’amende est portée au double, à laquelle on peut adjoindre une peine
d’emprisonnement allant de un à douze mois ou de l’une des deux peines seulement.
Est passible des mêmes sanctions prévues aux deux paragraphes précédents du présent article :
- Quiconque procède à la vente de manuscrits et oeuvres plastiques sans régler les droits des
titulaires des manuscrits et oeuvres plastiques, leurs héritiers ou leurs représentants, tels que
prévus à l’article 25 de la présente loi,
- L’éditeur qui refuse de répondre à la requête de l’auteur ou son représentant, de lui fournir les
justificatifs propres à établir l’exactitude de ses comptes, contrairement à ce qui est prévu à
l’article 29 de la présent loi,
- Le fabriquant d’exemplaires enregistrés sous forme de support audio ou audiovisuel qui refuse
de fournir à l’auteur, à ses héritiers ou son représentant, les justificatifs propres à établir
l’exactitude de ses comptes, contrairement à ce qui est prévu à l’article 34 de la présente loi,
- Quiconque fabrique des exemplaires enregistrés sous forme de phonogrammes et
vidéogrammes ou sous toute autre forme, des oeuvres protégées, s’il n’est justifié d’un contrat
conclu avec l’auteur ou l’ Organisme chargé de la gestion collective des droits d’auteur et des
droits voisins, ou procède à des manoeuvres dolosives dans la comptabilité relative aux recettes
d’exploitation des enregistrements, contrairement aux dispositions de l’article 35 de la présente
loi,
- Quiconque fabrique des exemplaires enregistrés sans mettre les mentions obligatoires prévues
par les dispositions de l’article 36 de la présente loi, sur les supports d’enregistrement et les
exemplaires enregistrés,
- Tout producteur d’une oeuvre cinématographique ou audiovisuelle qui n’a pas procédé à la
conclusion de contrats avec tous ceux dont les oeuvres sont conçues pour la réalisation de l’oeuvre
cinématographique ou audiovisuelle, contrairement aux dispositions de l’article 39 de la présente
loi,
- Tous les exploitants des oeuvres cinématographiques et audiovisuelles, ainsi que les
propriétaires des salles de cinéma et de projection audiovisuelle, cités à l’article 42 de la présente
loi, qui n’ont pas établi de contrats avec les titulaires des droits eux mêmes ou leurs
représentants en vue du paiement des redevances relatives aux droits d’auteurs,
- Quiconque utilise des programmes d’ordinateurs protégés sans autorisation de l’auteur ou son
représentant, contrairement aux dispositions de l’article 46 de la présente loi,
- Quiconque procède à l’importation, la reproduction, la vente, l’exportation, la
commercialisation, la publicité, des exemplaires d’oeuvres protégées, contrairement aux
dispositions de l’article 50 de la présente loi,
- Quiconque se soustrait ou tente de soustraire aux opérations de contrôle destinées à vérifier les
produits contrefaits ou suspectés de contrefaçon,
- Quiconque empêche, de quelque manière que ce soit, les agents habilités par la présente loi
d’accéder aux locaux de production, de fabrication, de dépôt, de vente, de distribution ou aux
moyens de transport,
- Quiconque refuse de présenter des documents comptables, ou des pièces justificatives
administratives, techniques ou commerciales nécessaires au contrôle,
- Quiconque fournit de faux renseignements ou des documents falsifiés en ce qui concerne le
produit.</t>
  </si>
  <si>
    <t xml:space="preserve">
Le propriétaire de l’établissement ouvert au public dans lequel une infraction aux dispositions de la
présente loi est commise, soit par l’exposition au public d’oeuvres protégées soit par la vente ou la
location d’exemplaires, est considéré responsable solidaire pour la réparation du préjudice matériel
et moral découlant de l’exploitation des dites oeuvres, dans le cas où il est prouvé que le propriétaire
de l’établissement concerné agissait en connaissance de cause.</t>
  </si>
  <si>
    <t xml:space="preserve">
Le constat des infractions à la présente loi, ainsi que la rédaction des procès verbaux y afférents
sont assurés par :
1- Les officiers de police judiciaire, indiqués aux points 3 et 4 de l’article 10 du code de
procédures pénales.
2- Les agents des douanes.
3- Les agents du contrôle économique, désignés conformément au statut particulier du corps des
agents du contrôle économique .
4- Les agents habilités par le Ministre chargé de la Culture, parmi les agents du Ministère chargé
de la Culture et des établissements placés sous sa tutelle, de la catégorie « A » et qui sont
assermentés à cet effet.
Les agents sus - désignés peuvent, après avoir décliné leur qualité, saisir les documents
nécessaires et prendre des échantillons des produits objet de l’atteinte aux droits d’auteur et
droits voisins, pour les besoins de l’enquête et pour établir la preuve de l’infraction, contre
récépissé.
Ils peuvent également à titre préventif saisir les produits suspectés de contrefaçon et non
conformes aux règles en vigueur, dans le domaine des droits d’auteur et des droits voisins .
Les produits saisis restent sous la garde de leurs propriétaires ou dans un lieu désigné par les agents
indiqués au premier paragraphe du présent article .
Les agents de la force publique sont tenus, en cas de nécessité, de prêter main forte aux agents
habilités afin de garantir le bon accomplissement de leurs missions.
Les transporteurs sont tenus de ne pas faire obstacle à la demande des agents visés au
paragraphe premier du présent article en vue de procéder au prélèvement d’échantillons ou à la
saisie, et de présenter les titres de transport ou d’embarquement, les récépissés, les billets et les
déclarations dont ils sont détenteurs.
Les procès verbaux de constat et de saisie sont rédigés par l’un des officiers de
police judiciaire désignés au point 1 du paragraphe premier du présent article ou deux agents parmi
ceux désignés aux points 2, 3 ou 4 du paragraphe premier du présent article, ayant procédé
personnellement et directement à la constatation de l’infraction ou à la saisie.
Le procès verbal doit comporter le prénom de l’officier de police judiciaire ou de chacun des deux
agents qui l’ont rédigé ainsi que son nom, sa qualité, son grade, sa signature et doit être revêtu du
cachet de l’administration de qui il relève ;
Il doit également comporter les déclarations du contrevenant ou son représentant, ainsi que sa
signature .
Il y est fait mention de l’absence du contrevenant ou son représentant au cas où il ne se manifeste pas,
ou du refus de signature alors qu’il est présent.
Le procès verbal doit également mentionner la date et le lieu du constat ou de la saisie et de
l’information du contrevenant ou son représentant de l’objet de l’infraction constatée ou de la saisie,
s’il est présent, ou lui adresser copie du procès verbal sous pli recommandé, en cas d’absence, et
prouvant la transmission de la dite copie à l’intéressé.
Les procès verbaux du constat et de saisie sont adressés dans un délai de sept jours au procureur de la
République compétent, qui les transmet au tribunal compétent pour statuer sur la confirmation ou la
levée de la saisie dans un délai qui ne doit pas dépasser un mois à compter de la date de la réalisation de
la saisie.
Au cas où le tribunal ne statue pas sur la saisie dans les délais prescrits, la saisie est levée de plein droit .
17
La responsabilité des services, dont relèvent les agents visés au paragraphe premier du présent article
ne peut être engagée en aucun cas s’ils ne parviennent pas à reconnaître les produits suspectés portant
atteinte aux droits d’auteur et droits voisins.</t>
  </si>
  <si>
    <t xml:space="preserve">
Le titulaire du droit ou son représentant peut à titre conservatoire et en vertu d'une ordonnance
sur requête du président du tribunal compétent, faire procéder par huissier notaire assisté, le
cas échéant*, d'un expert désigné par le président du tribunal compétent à la description
détaillée, avec ou sans saisie réelle des produits qui présentent une violation aux droits d'auteur
ou droits voisins .
La saisie réelle se limite, le cas échéant, à mettre entre les mains de la justice les échantillons
nécessaires pour prouver la violation .
Peuvent être arrêtées ou interdites les représentations ou exécutions publiques en cours ou déjà
annoncées, en vertu d’une ordonnance sur requête obtenue du président du tribunal compétent .
Le président du tribunal compétent peut également dans la même forme ordonner :
1- La suspension de toute opération de fabrication en cours tendant à la production
illicite d'une oeuvre .
2- La saisie des exemplaires déjà fabriqués ou en cours de fabrication constituant une reproduction
illicite de l'oeuvre, des recettes réalisées, ainsi que des exemplaires illicitement utilisés,
conformément aux dispositions du code de procédures pénales.
3- La saisie des recettes provenant de toute reproduction ou représentation
ou interprétation ou diffusion de l’oeuvre, par quelque moyen que ce soit,
effectuées en violation des droits d'auteur ou des droits voisins .
Le président du tribunal compétent peut en vertu d'une ordonnance sur requête, dans les cas
prévus aux paragraphes un, deux, et quatre du présent article, ordonner la constitution
préalable par le demandeur, d'un cautionnement avant de procéder à la saisie.
La description, la saisie, l’arrêt ou l’interdiction de la représentation ou l’exécution est levée de
plein droit à défaut par le demandeur d'avoir dans un délai de quinze jours engagé une action en
justice et ce, indépendamment des dommages - intérêts .
Le délai de quinze jours court à partir du jour de la description, la saisie, l’arrêt ou
l’interdiction.</t>
  </si>
  <si>
    <t xml:space="preserve">
Les tribunaux compétents peuvent, en statuant sur le fond, ordonner d’office ou à la requête du
titulaire du droit lésé ou son représentant, la confiscation ou la destruction des copies, du matériel ou
des moyens ayant principalement servi à l’accomplissement de l’infraction.
Ils peuvent également ordonner la cessation de l’activité objet de l’infraction dans le local où elle a été
enregistrée, à titre temporaire pour une période ne dépassant pas les six mois ou à titre définitif en cas
de récidive.
Ils peuvent ordonner la publication du jugement dans son intégralité ou partiellement dans les
journaux qu’ils désignent en fixant la durée de publication, et l’affichage d’une copie de ce jugement
dans les lieux qu’ils désignent aux frais du condamné.
*</t>
  </si>
  <si>
    <t xml:space="preserve">
Les dispositions de la présente loi relatives aux droits d’auteur s’appliquent :
a- aux oeuvres dont l’auteur ou tout autre titulaire originaire du droit d’auteur est Tunisien, ou
a sa résidence habituelle ou son siège social en Tunisie ;
b- aux oeuvres audiovisuelles dont le producteur est Tunisien, ou a sa résidence habituelle ou
son siège social en Tunisie ;
c- aux oeuvres publiées pour la première fois en Tunisie ou celles publiées en Tunisie dans les
trente jours suivants leur première publication dans un autre pays ;
d- aux oeuvres d’architecture érigées en Tunisie ou aux oeuvres des beaux-arts faisant corps avec
un immeuble situé en Tunisie.
Les dispositions de la présente loi relatives aux droits d’auteur s’appliquent aux oeuvres qui ont droit à
la protection en vertu d’une convention internationale ratifiée par l'Etat Tunisien .</t>
  </si>
  <si>
    <t xml:space="preserve">
Les dispositions de la présente loi relatives aux droits voisins s’appliquent :
a) aux interprétations et exécutions lorsque :
- l’artiste interprète ou exécutant est Tunisien ;
- l’interprétation ou l’exécution a lieu sur le territoire Tunisien ;
- l’interprétation ou l’exécution est fixée sur un enregistrement audio ou audiovisuel protégé
aux termes de la présente loi ou lorsqu’elle n’a pas été fixée, elle a été incorporée dans une
émission de radio ou télévision protégée aux termes de la présente Loi.
b) aux enregistrements audios ou audiovisuels lorsque :
- le producteur est Tunisien ;
- la première fixation du son ou de l’image et du son, a été réalisée en Tunisie ;
- l’enregistrement audio ou audiovisuel a été publié pour la première fois en Tunisie ;
c) aux émissions de radio ou télévision lorsque :
- le siège social de l’Organisme de radio et télévision est situé en Tunisie ;
- l’ émission de radio ou télévision est diffusée à partir d’une station située en Tunisie.
Les dispositions de la présente loi s’appliquent également aux interprétations ou exécutions, aux
enregistrements audios ou audiovisuels et aux émissions de radio ou télévision, protégés en vertu
d’une convention internationale ratifiée par l'Etat Tunisien .</t>
  </si>
  <si>
    <t xml:space="preserve">
Sont abrogées toutes les dispositions antérieures contraires à celles de la présente loi et
notamment :
La loi n°66-12 du 14 février 1966, relative a la propriété littéraire et artistique.</t>
  </si>
  <si>
    <t>Partiellement</t>
  </si>
  <si>
    <t>Doit inclure autorisation préalable, conditions d’exploitation, pourcentages, redevances minimales, modalités de paiement et contrôle. Contrat contraire.</t>
  </si>
  <si>
    <t xml:space="preserve"> Toute invention d’un produit ou d’un
procédé de fabrication peut être protégée par un titre,
dénommé brevet d'invention qui est délivré par l'Organisme
chargé de la propriété Industrielle et ce, dans les conditions
déterminées par la présente loi.</t>
  </si>
  <si>
    <t xml:space="preserve"> Le brevet est délivré pour les inventions
nouvelles impliquant une activité inventive et susceptibles
d'application industrielle.
Ne sont pas considérées comme inventions au sens de
l'alinéa premier du présent article, notamment :
a - les créations purement ornementales;
b - les découvertes et les théories scientifiques ainsi que
les méthodes mathématiques;
- les plans, principes et méthodes destinés à être
utilisés :
— dans l'exercice d'activités purement intellectuelles,
— en matière de jeu,
— dans le domaine des activités économiques,
— en matière de logiciels.
d-les méthodes de traitement thérapeutique et
chirurgical du corps humain ou de l’animal et les
méthodes de diagnostic appliquées au corps humain
ou à l’animal. Ces dispositions ne s’appliquent pas
aux préparations et notamment aux produits et
compositions utilisés aux fins de l’application de
l’une de ces méthodes.
e - les présentations d'informations;
f - toutes sortes de substances vivantes existant dans la
nature.
Les exceptions des dispositions de l'alinéa 2 du présent
article concernant la brevetabilité des éléments énumérés ne
s’appliquent qu’aux dits éléments considérés en tant que
tels.</t>
  </si>
  <si>
    <t>Une invention est considérée comme susceptible d'application industrielle si son objet peut être fabriqué ou utilisé dans tout genre d'industrie, ou dans l'agriculture</t>
  </si>
  <si>
    <t xml:space="preserve"> L'invention faite dans le cadre d’une relation de travail, par un employé tenu de par ses fonctions effectives d'exercer une activité inventive, des études et des recherches qui lui sont expressément confiées, appartient à l'employeur.
L'invention faite dans le domaine d'activité de l'employeur, par un employé non tenu par son travail d'exercer une activité inventive, et grâce à l'utilisation de données ou de moyens qui lui sont accessibles du fait de son emploi, appartient à l'employé, sauf si l'employeur lui notifie son intérêt à l'égard de l'invention conformément aux dispositions de l’article 16 de la présente loi.</t>
  </si>
  <si>
    <t>L’employé auteur d’une invention au sens de l’article 10 de la présente loi en fait immédiatement la déclaration à l’employeur conformément aux dispositions des articles 12 et 16 de la présente loi.
En cas de pluralité d’inventeurs, une déclaration conjointe peut être faite par tous les inventeurs ou par certains d’entre eux seulement.</t>
  </si>
  <si>
    <t xml:space="preserve"> Cette déclaration contient notamment les informations concernant :
− L’objet de l’invention ainsi que les applications envisagées,
− Les circonstances de réalisation de l’invention.
La déclaration est accompagnée d’une description de l’invention. Cette description expose :
Le problème que s’est posé l’employé compte tenu le cas échéant de l’état de la technique antérieure;
− La solution à laquelle il est parvenu;
− Le mode de réalisation de l’invention, accompagné le cas échéant des dessins.</t>
  </si>
  <si>
    <t xml:space="preserve"> Si l'employeur fait la déclaration d’intérêt conformément aux dispositions de l'article 10 de la présente loi, le droit au brevet est considéré comme lui ayant appartenu dés l'origine. L'employé inventeur a droit à une compensation équitable, tenant compte, de la valeur économique de l'invention et de tout bénéfice découlant de l’exploitation de l'invention au profit de l'employeur. A défaut d'accord entre les parties sur le montant, cette compensation est fixée par le tribunal compétent.
Toute disposition contractuelle moins favorable à l’employé inventeur que les dispositions du présent article est nulle et non avenue.
Le délai ouvert à l’employeur pour revendiquer le droit d’attribution de l’invention est de quatre mois, sauf accord contraire entre les parties. Tout accord ne peut être que par écrit et postérieur à la déclaration.</t>
  </si>
  <si>
    <t xml:space="preserve"> Si la déclaration de l’employé n’est pas conforme aux dispositions de l’article 12 de la présente loi, l’employeur notifie à l’intéressé les indications qui doivent être complétées.
Cette notification est faite dans un délai de deux mois à compter de la date de réception de la déclaration de l’employé. A défaut, la déclaration est réputée acceptée.</t>
  </si>
  <si>
    <t xml:space="preserve"> Le délai de déclaration de l’employeur pour revendiquer le droit d’attribution de l’invention prévu à l’article 13 de la présente loi court à compter de la date de réception par l’employeur de la déclaration de l’invention contenant les indications prévues à l’article 12 de la présente loi ou, en cas de demande de renseignements complémentaires justifiée, de la date à laquelle la déclaration a été complétée.
La revendication du droit d’attribution de l’invention s’effectue par l’envoi à l’employé d’une notification précisant la nature et l’étendue des droits que l’employeur entend se réserver.</t>
  </si>
  <si>
    <t xml:space="preserve"> L’employé et l’employeur doivent se communiquer tout renseignement utile sur l’invention en question. Ils doivent s’abstenir de toute divulgation de nature à compromettre en tout ou en partie l’exercice des droits conférés par la présente loi.</t>
  </si>
  <si>
    <t>La demande doit comporter :
− Une requête,
− Une description de l'invention en double exemplaire,
− Une ou plusieurs revendications en double exemplaire précisant le ou les éléments de nouveauté dans ladite invention,
− Un ou plusieurs dessins s'ils sont nécessaires à l'intelligence de la description,
− Un abrégé descriptif de l’invention.
La requête doit énoncer le titre de l'invention, les nom et prénom du déposant et son adresse et les nom et prénom de l'inventeur, et le cas échéant, les nom, prénom et adresse du mandataire.
La description de l'invention doit être suffisamment claire et complète de sorte qu'une personne du métier dans le domaine correspondant de la technologie puisse l’exécuter.
Les revendications doivent se fonder sur la description et indiquer l'étendue de la protection qui est demandée par le brevet.
L'abrégé descriptif doit énoncer brièvement les principaux éléments techniques de l'invention. Il sert exclusivement à des fins d'information technique.</t>
  </si>
  <si>
    <t xml:space="preserve"> La demande doit être présentée par écrit et dans l’une des trois langues suivantes :
l’arabe, le français ou l’anglais.
La demande est soumise au paiement de redevances dont les montants seront fixés par décret.</t>
  </si>
  <si>
    <t>Le brevet confère à son titulaire ou à ses ayants droit un droit exclusif d’exploitation.
Sont interdits aux tiers, sans le consentement du titulaire du brevet ou de ses ayants droit:
− la fabrication, l’offre, la mise dans le commerce, l’utilisation ou bien l’importation ou la détention aux fins précitées du produit objet du brevet;
− l’utilisation du procédé de fabrication objet du brevet;
− l’offre, la mise dans le commerce ou l’utilisation ou bien l’importation ou la détention aux fins précitées du produit obtenu directement par le procédé objet du brevet.</t>
  </si>
  <si>
    <t>Les droits conférés par le brevet ne s'étendent pas :
a - aux actes accomplis dans un cadre privé et à des fins non commerciales;
b - aux actes accomplis à titre expérimental qui portent sur l'objet de l'invention brevetée;
c -à la préparation de médicaments faite extemporanément et par unités dans les officines de pharmacie sur ordonnance médicale, ni aux actes concernant les médicaments ainsi préparés;
d - à l’offre, l’importation, la détention ou l’utilisation du produit breveté ou du produit obtenu par un procédé breveté, effectués sur le territoire tunisien, après que ce produit ait été mis de manière licite dans le commerce de n’importe quel pays, par le propriétaire du brevet ou avec son consentement explicite.
e - aux actes nécessaires à la fabrication des médicaments génériques. Toutefois, l’exploitation des produits nés de ces activités à des fins commerciales ne peut être réalisée qu’après expiration de la période de protection du brevet.
f - à l’utilisation d’objets à bord d’aéronefs, de véhicules terrestres ou de navires étrangers qui pénètrent temporairement ou accidentellement dans l’espace aérien, sur le territoire ou dans les eaux territoriales de la République Tunisienne.</t>
  </si>
  <si>
    <t xml:space="preserve"> Toute personne qui, de bonne foi, à la date de dépôt de la demande d’un brevet ou à la date de la priorité revendiquée pour elle, exploitait l’invention en Tunisie, a le droit, à titre personnel, d’exploiter l’invention malgré l’existence du brevet. Ce droit d’exploitation appartient aussi, dans les mêmes conditions, à celui qui avait fait des préparatifs sérieux en vue d’exploiter l’invention en Tunisie. Ce droit ne peut être transmis aux tiers qu’avec le fonds de commerce, l’entreprise ou la partie de l’entreprise auquel il est attaché.</t>
  </si>
  <si>
    <t>e titulaire du brevet a l'obligation d'exploiter l'invention objet du brevet, dans un délai de quatre ans à compter du dépôt de la demande ou de trois ans à compter de la délivrance du brevet en tenant compte du délai le plus long dans tous les cas, à moins que le produit objet de l'invention ne soit soumis à une autorisation administrative préalable de mise sur le marché, auquel cas le délai est augmenté de deux ans après expiration des périodes ci-dessus mentionnées.</t>
  </si>
  <si>
    <t xml:space="preserve"> Toute atteinte portée aux droits du titulaire du brevet, tels que définis à l'article 46 de la présente loi, constitue un délit de contrefaçon.
La contrefaçon engage la responsabilité civile et pénale de son auteur.
Toutefois, l'offre, la mise dans le commerce, l'utilisation, la détention en vue de l'utilisation ou la mise dans le commerce d'un produit contrefait, lorsque ces faits sont commis par une autre personne que le fabricant du produit contrefait, n'engagent la responsabilité de leur auteur que si ces faits ont été commis en connaissance de cause.
Les faits antérieurs à la publication de la demande de brevet ne constituent pas un délit de contrefaçon et ne peuvent motiver une condamnation même au civil, sauf si lesdits faits sont postérieurs à une notification qui aura été faite au présumé contrefacteur, d'une copie officielle de la demande de brevet.</t>
  </si>
  <si>
    <t xml:space="preserve"> Sous réserve des peines prévues par des textes spéciaux, le délit de contrefaçon est puni d'une amende de 5000 à 50 000 dinars.
En cas de récidive, un emprisonnement de un à six mois peut être prononcé outre l’amende qui est portée au double.
Le ministère public ne peut déclencher les poursuites que sur la base d’une plainte de la partie lésée.</t>
  </si>
  <si>
    <t xml:space="preserve"> L'action civile en contrefaçon est exercée par le titulaire du brevet ou de la demande de brevet.
Le cotitulaire d’une demande de brevet ou d’un brevet a le droit d'exercer une action en contrefaçon à son seul profit. Il doit notifier une copie de l'assignation aux autres cotitulaires.
Le titulaire d'une licence contractuelle exclusive peut, sauf stipulations contraires dans le contrat, exercer l’action en contrefaçon si, après mise en demeure, le titulaire du brevet n’exerce pas cette action.
N° 68 Journal Officiel de la République Tunisienne ⎯ 25 août 2000 Page 1991
Le titulaire d'une licence obligatoire ou d'une licence d'office peut exercer l'action en contrefaçon, si après mise en demeure, le titulaire du brevet n’exerce pas cette action.
Le titulaire du brevet est recevable à intervenir dans l'instance en contrefaçon engagée par un licencié conformément aux alinéas 3 et 4 du présent article.
Tout licencié est recevable à intervenir dans l'instance en contrefaçon engagée par le titulaire du brevet, afin d'obtenir la réparation du préjudice qui lui est propre</t>
  </si>
  <si>
    <t xml:space="preserve"> Est puni d'une amende de 1000 à 5000 dinars quiconque se prévaut indûment de la qualité de titulaire d'une demande de brevet ou d'un brevet.
En cas de récidive, l'amende est portée au double.</t>
  </si>
  <si>
    <t>Les auteurs d'adaptations ou de compilations (comme les bases de données) sont protégés, sans préjudice des droits de l’auteur original.</t>
  </si>
  <si>
    <t>En cas de demande non conforme, le demandeur a 2 mois pour régulariser. Passé ce délai, la demande est rejetée.</t>
  </si>
  <si>
    <t xml:space="preserve"> Les inscriptions au registre sont publiées au Bulletin Officiel de la Propriété Industrielle et accessibles au public.</t>
  </si>
  <si>
    <t>L’auteur d’un logiciel détient des droits exclusifs de reproduction, modification, et mise sur le marché du logiciel.</t>
  </si>
  <si>
    <t>Les droits d’exploitation d’un logiciel peuvent faire l’objet d’un nantissement, inscrit sur un registre spécial tenu par l’INPI. L'inscription est nécessaire pour être opposable.</t>
  </si>
  <si>
    <t>La preuve de contrefaçon de logiciel ou de base de données peut être apportée par saisie, description ou copie autorisées par le juge.</t>
  </si>
  <si>
    <t>Toute notice publicitaire concernant des moyens de neutralisation de protections techniques doit rappeler les sanctions encourues.</t>
  </si>
  <si>
    <t xml:space="preserve"> La contrefaçon de marque est également punie (jusqu’à 7 ans de prison si aggravée), ce qui peut concerner les logiciels sous marque contrefaisante.</t>
  </si>
  <si>
    <t xml:space="preserve">Certains actes comme la correction d'erreurs, la sauvegarde ou l’interopérabilité sont autorisés sans l'accord de l’auteur, sous conditions.
</t>
  </si>
  <si>
    <t>L-123-1</t>
  </si>
  <si>
    <t>L'auteur jouit, sa vie durant, du droit exclusif d'exploiter son oeuvre sous quelque forme que ce soit et d'en
tirer un profit pécuniaire.
Au décès de l'auteur, ce droit persiste au bénéfice de ses ayants droit pendant l'année civile en cours et les
soixante-dix années qui suivent.</t>
  </si>
  <si>
    <t>L335-2</t>
  </si>
  <si>
    <t>Toute édition d'écrits, de composition musicale, de dessin, de peinture ou de toute autre production, imprimée
ou gravée en entier ou en partie, au mépris des lois et règlements relatifs à la propriété des auteurs, est une
contrefaçon et toute contrefaçon est un délit.
La contrefaçon en France d'ouvrages publiés en France ou à l'étranger est punie de trois ans d'emprisonnement
et de 300 000 euros d'amende.
Seront punis des mêmes peines le débit, l'exportation, l'importation, le transbordement ou la détention aux fins
précitées des ouvrages contrefaisants.
Lorsque les délits prévus par le présent article ont été commis en bande organisée, les peines sont portées à
sept ans d'emprisonnement et à 750 000 euros d'amende.</t>
  </si>
  <si>
    <t>L341-1</t>
  </si>
  <si>
    <t>Le producteur d'une base de données, entendu comme la personne qui prend l'initiative et le risque des
investissements correspondants, bénéficie d'une protection du contenu de la base lorsque la constitution, la
vérification ou la présentation de celui-ci atteste d'un investissement financier, matériel ou humain substantiel.
Cette protection est indépendante et s'exerce sans préjudice de celles résultant du droit d'auteur ou d'un autre
droit sur la base de données ou un de ses éléments constitutifs.</t>
  </si>
  <si>
    <t>LOI n° 2024-449 du 21 mai 2024 visant à sécuriser et à réguler l'espace numérique (1)</t>
  </si>
  <si>
    <t xml:space="preserve">
I. - L'Autorité de régulation des communications électroniques, des postes et de la distribution de la presse peut, de manière proportionnée aux besoins liés à l'accomplissement de ses missions et sur la base d'une décision motivée :
1° Recueillir auprès des personnes physiques ou morales fournissant des services d'informatique en nuage les informations ou les documents nécessaires pour s'assurer du respect par ces personnes des obligations mentionnées aux articles 27 à 29 ;
2° Procéder à des enquêtes auprès de ces mêmes personnes.
Ces enquêtes sont menées dans les conditions prévues aux II à IV de l'article L. 32-4 et à l'article L. 32-5 du code des postes et des communications électroniques.
L'autorité veille à ce que les informations recueillies en application du présent article ne soient pas divulguées lorsqu'elles sont protégées par l'un des secrets mentionnés aux articles L. 311-5 à L. 311-8 du code des relations entre le public et l'administration.
II. - En cas de désaccord sur le respect par le fournisseur de services d'informatique en nuage des interdictions et des obligations mentionnées aux II à IV et VII de l'article 27, au II de l'article 28 et aux II et III de l'article 29 de la présente loi, l'Autorité de régulation des communications électroniques, des postes et de la distribution de la presse peut être saisie du différend dans les conditions prévues à l'article L. 36-8 du code des postes et des communications électroniques.
Sa décision est motivée et précise les conditions équitables, d'ordre technique et financier, de mise en œuvre des interdictions et des obligations mentionnées aux II à IV et VII de l'article 27, au II de l'article 28 et aux II et III de l'article 29 de la présente loi.
III. - L'Autorité de régulation des communications électroniques, des postes et de la distribution de la presse peut, soit d'office, soit à la demande du ministre chargé du numérique, d'une organisation professionnelle, d'une association agréée d'utilisateurs ou de toute personne physique ou morale concernée, sanctionner les manquements aux obligations mentionnées aux articles 27 à 29 qu'elle constate de la part d'un fournisseur de services d'informatique en nuage.
Ce pouvoir de sanction est exercé dans les conditions prévues à l'article L. 36-11 du code des postes et des communications électroniques. Par dérogation aux quatrième à dixième alinéas du III du même article L. 36-11, la formation restreinte de l'autorité mentionnée à l'article L. 130 du même code peut prononcer à l'encontre du fournisseur de services d'informatique en nuage en cause une sanction pécuniaire dont le montant est proportionné à la gravité du manquement et aux avantages qui en sont tirés, sans pouvoir excéder 3 % du chiffre d'affaires mondial hors taxes réalisé au cours du dernier exercice clos. Ce taux est porté à 5 % en cas de réitération du manquement dans un délai de cinq ans à compter de la date à laquelle la première décision de sanction est devenue définitive.
IV. - Le président de l'Autorité de régulation des communications électroniques, des postes et de la distribution de la presse saisit l'Autorité de la concurrence des abus de position dominante et des pratiques entravant le libre exercice de la concurrence dont il pourrait avoir connaissance dans le secteur de l'informatique en nuage. Cette saisine s'effectue dans les conditions prévues à l'article L. 36-10 du code des postes et des communications électroniques.</t>
  </si>
  <si>
    <t>I. - Lorsque les administrations de l'Etat, ses opérateurs dont la liste est annexée au projet de loi de finances ainsi que les groupements d'intérêt public comprenant les administrations ou les opérateurs mentionnés précédemment et dont la liste est fixée par décret en Conseil d'Etat ont recours à un service d'informatique en nuage fourni par un prestataire privé pour la mise en œuvre de systèmes ou d'applications informatiques, ils respectent les dispositions du présent article.
Si le système ou l'application informatique concerné traite de données d'une sensibilité particulière, définies au II, qu'elles soient à caractère personnel ou non, et si leur violation est susceptible d'engendrer une atteinte à l'ordre public, à la sécurité publique, à la santé ou à la vie des personnes ou à la protection de la propriété intellectuelle, l'administration de l'Etat, ses opérateurs et les groupements mentionnés au présent I veillent à ce que le service d'informatique en nuage fourni par le prestataire privé mette en œuvre des critères de sécurité et de protection des données garantissant notamment la protection des données traitées ou stockées contre tout accès par des autorités publiques d'Etats tiers non autorisé par le droit de l'Union européenne ou d'un Etat membre.
II. - Sont qualifiées de données d'une sensibilité particulière au sens du I :
1° Les données qui relèvent de secrets protégés par la loi, notamment au titre des articles L. 311-5 et L. 311-6 du code des relations entre le public et l'administration ;
2° Les données nécessaires à l'accomplissement des missions essentielles de l'Etat, notamment la sauvegarde de la sécurité nationale, le maintien de l'ordre public et la protection de la santé et de la vie des personnes.
III. - Lorsque, à la date d'entrée en vigueur du présent article, l'administration de l'Etat, son opérateur ou le groupement mentionné au I a déjà engagé un projet nécessitant le recours à un service d'informatique en nuage, cette administration, cet opérateur ou ce groupement peut solliciter une dérogation au présent article.
IV. - Le I est applicable au groupement mentionné à l'article L. 1462-1 du code de la santé publique.
V. - Dans un délai de six mois à compter de la promulgation de la présente loi, un décret en Conseil d'Etat précise les modalités d'application du présent article, notamment les critères de sécurité et de protection, y compris en termes de détention du capital, des données mentionnés au I. Ce décret précise également les conditions dans lesquelles une dérogation motivée et rendue publique peut être accordée sous la responsabilité du ministre dont relève le projet déjà engagé et après validation par le Premier ministre, sans que cette dérogation puisse excéder dix-huit mois à compter de la date à laquelle une offre de services d'informatique en nuage acceptable est disponible en France, et fixe éventuellement les critères selon lesquels une telle offre peut être considérée comme acceptable.
VI. - Dans un délai de dix-huit mois à compter la promulgation de la présente loi, le Gouvernement remet au Parlement un rapport évaluant les moyens supplémentaires pouvant être pris afin de rehausser le niveau de la protection collective face aux risques et aux menaces que les législations extraterritoriales peuvent faire peser sur les données qualifiées d'une sensibilité particulière par le présent article ainsi que sur les données de santé à caractère personnel. Ce rapport évalue également l'opportunité et la faisabilité de soumettre les fournisseurs de services d'informatique en nuage établis en dehors de l'Union européenne à un audit de chiffrement certifié par l'Agence nationale de la sécurité des systèmes d'information.</t>
  </si>
  <si>
    <t>Art 31</t>
  </si>
  <si>
    <t>Art 33</t>
  </si>
  <si>
    <t>I. - Les fournisseurs de services d'informatique en nuage publient et tiennent à jour sur leur site internet les informations suivantes :
1° Les informations relatives aux juridictions compétentes eu égard à l'infrastructure déployée pour le traitement des données dans le cadre de leurs différents services ;
2° Une description générale des mesures techniques, organisationnelles et contractuelles mises en œuvre par le fournisseur de services d'informatique en nuage afin d'empêcher tout accès non autorisé aux données à caractère non personnel détenues dans l'Union européenne ou le transfert de ces données par des Etats tiers, dans les cas où ce transfert ou cet accès est contraire au droit européen ou au droit national.
Les sites internet mentionnés au premier alinéa du présent I sont mentionnés dans les contrats de tous les services d'informatique en nuage offerts par les fournisseurs de services d'informatique en nuage.
II. - Les fournisseurs de services d'informatique en nuage publient des informations sur l'empreinte environnementale de leurs services, notamment en matière d'empreinte carbone, de consommation d'eau et de consommation d'énergie.
III. - Un décret précise le contenu, les modalités d'application et les délais de mise en œuvre de l'obligation mentionnée au II ainsi que les seuils d'activité en deçà desquels les fournisseurs de services d'informatique en nuage n'y sont pas assujettis.</t>
  </si>
  <si>
    <t>RÈGLEMENT (UE) 2022/868 DU PARLEMENT EUROPÉEN ET DU CONSEIL du 30 mai 2022 portant sur la gouvernance européenne des données et modifiant le règlement (UE) 2018/1724 (règlement sur la gouvernance des données)</t>
  </si>
  <si>
    <t>1.	Sont interdits les accords ou autres pratiques relatifs à la réutilisation de données détenues par des organismes du secteur public contenant des catégories de données visées à l’article 3, paragraphe 1, qui octroient des droits d’exclusivité ou qui ont pour objet ou pour effet d’octroyer de tels droits d’exclusivité ou de restreindre la disponibilité des données à des fins de réutilisation par des entités autres que les parties à ces accords ou autres pratiques.
2.	Par dérogation au paragraphe 1, un droit d’exclusivité pour la réutilisation des données visées audit paragraphe peut être accordé dans la mesure nécessaire à la fourniture d’un service ou d’un produit d’intérêt général qui, sans cela, ne pourrait pas être obtenu.
3.	Un droit d’exclusivité tel qu’il est visé au paragraphe 2 est accordé par le biais d’un acte administratif ou d’un arrangement contractuel conformément au droit de l’Union ou au droit national applicable, dans le respect des principes de transparence, d’égalité de traitement et de non-discrimination.
4.	La durée du droit d’exclusivité pour la réutilisation des données ne dépasse pas douze mois. Lorsqu’un contrat est conclu, la durée du contrat est la même que la durée du droit d’exclusivité.
5.	L’octroi d’un droit d’exclusivité en vertu des paragraphes 2, 3 et 4, notamment les raisons justifiant la nécessité d’accorder un tel droit, est transparent et est rendu public en ligne, sous une forme qui respecte les dispositions pertinentes du droit de l’Union en matière de marchés publics.
6.	Les accords ou autres pratiques tombant sous le coup de l’interdiction visée au paragraphe 1 qui ne remplissent pas les conditions prévues aux paragraphes 2 et 3, et qui ont été respectivement conclus ou convenues avant le 23 juin 2022 prennent fin au terme du contrat applicable et, en tout état de cause, au plus tard le 24 décembre 2024.</t>
  </si>
  <si>
    <t>Notification par des prestataires de services d’intermédiation de données
1.	Tout prestataire de services d’intermédiation de données qui a l’intention de fournir les services d’intermédiation de données visés à l’article 10 soumet une notification à l’autorité compétente en matière de services d’intermédiation de données.
2.	Aux fins du présent règlement, un prestataire de services d’intermédiation de données qui a des établissements dans plusieurs États membres est considéré comme relevant de la compétence de l’État membre dans lequel il a son établissement principal, sans préjudice du droit de l’Union réglementant les actions transfrontalières en dommages et intérêts et les procédures connexes.
3.	Un prestataire de services d’intermédiation de données qui n’est pas établi dans l’Union mais qui propose les services d’intermédiation de données visés à l’article 10 dans l’Union désigne un représentant légal dans l’un des États membres où il propose lesdits services.
Afin de garantir le respect du présent règlement, le représentant légal est mandaté par le prestataire de services d’intermédiation de données pour être contacté, en plus dudit prestataire ou à sa place, par les autorités compétentes pour les services d’intermédiation de données ou les personnes concernées et les détenteurs de données, sur toutes les questions liées aux services d’intermédiation de données fournis. Le représentant légal coopère avec les autorités compétentes pour les services d’intermédiation de données et leur démontre de manière exhaustive, sur demande, les mesures prises et les dispositions mises en place par le prestataire de services d’intermédiation de données pour garantir le respect du présent règlement.
Le prestataire de services d’intermédiation de données est considéré comme relevant de la compétence de l’État membre dans lequel se trouve le représentant légal. La désignation d’un représentant légal par le prestataire de services d’intermédiation de données est sans préjudice d’actions en justice qui pourraient être intentées contre le prestataire de services d’intermédiation de données.
4.	Après avoir soumis une notification conformément au paragraphe 1, le prestataire de services d’intermédiation de données peut commencer l’activité sous réserve des conditions énoncées au présent chapitre.
5.	La notification visée au paragraphe 1 donne au prestataire de services d’intermédiation de données le droit de fournir des services d’intermédiation de données dans tous les États membres.
6.	La notification visée au paragraphe 1 comporte les renseignements suivants:
a)	le nom du prestataire de services d’intermédiation de données;
b)	le statut juridique, la forme, la structure de propriété et les filiales pertinentes du prestataire de services d’intermédiation de données ainsi que, lorsque le prestataire de services d’intermédiation de données est enregistré dans un registre de commerce ou dans un autre registre public national similaire, son numéro d’enregistrement;
c)	l’adresse de l’éventuel établissement principal du prestataire de services d’intermédiation de données dans l’Union et, le cas échéant, de toute succursale dans un autre État membre, ou l’adresse du représentant légal;
d)	un site internet public contenant des informations complètes et à jour sur le prestataire de services d’intermédiation de données et ses activités, y compris au minimum les renseignements visés aux points a), b), c) et f);
e)	les personnes de contact et les coordonnées du prestataire de services d’intermédiation de données;
f)	une description du service d’intermédiation de données que le prestataire de services d’intermédiation de données a l’intention de fournir, ainsi qu’une indication des catégories énumérées à l’article 10 dont relève ce service d’intermédiation de données;
g)	une estimation de la date de lancement de l’activité, si celle-ci est différente de la date de la notification.
7.	L’autorité compétente en matière de services d’intermédiation de données veille à ce que la procédure de notification soit non discriminatoire et ne fausse pas la concurrence.
8.	À la demande du prestataire de services d’intermédiation de données, l’autorité compétente en matière de services d’intermédiation de données délivre, dans un délai d’une semaine à partir du moment où la notification est dûment et entièrement complétée, une déclaration standardisée confirmant que le prestataire de services d’intermédiation de données a soumis la notification visée au paragraphe 4 et que cette notification contient les informations visées au paragraphe 6.
9.	À la demande du prestataire de services d’intermédiation de données, l’autorité compétente en matière de services d’intermédiation de données confirme que le prestataire de services d’intermédiation de données respecte le présent article et l’article 12. Dès réception de cette confirmation, ledit prestataire de services d’intermédiation de données peut utiliser le label «prestataire de services d’intermédiation de données reconnu dans l’Union» dans ses communications écrites et orales, ainsi qu’un logo commun.
Afin de garantir que les prestataires de services d’intermédiation de données reconnus dans l’Union sont facilement identifiables dans toute l’Union, la Commission conçoit le logo commun par la voie d’actes d’exécution. Les prestataires de services d’intermédiation de données reconnus dans l’Union affichent clairement le logo commun sur chaque publication en ligne et hors ligne qui se rapporte à leurs activités d’intermédiation de données.
Ces actes d’exécution sont adoptés en conformité avec la procédure consultative visée à l’article 33, paragraphe 2.
10.	L’autorité compétente en matière de services d’intermédiation de données notifie à la Commission, sans retard et par voie électronique, toute nouvelle notification. La Commission tient et met régulièrement à jour un registre public de tous les prestataires de services d’intermédiation de données proposant leurs services dans l’Union. Les informations visées au paragraphe 6, points a), b), c), d), f) et g), sont publiées dans le registre public.
11.	L’autorité compétente en matière de services d’intermédiation de données peut percevoir des redevances pour la notification conformément au droit national. Ces redevances sont proportionnées et objectives et sont fondées sur les coûts administratifs liés au contrôle du respect des dispositions et aux autres activités de contrôle du marché menées par les autorités compétentes en matière de services d’intermédiation de données en rapport avec les notifications des prestataires de services d’intermédiation de données. Dans le cas des PME et des jeunes pousses, l’autorité compétente en matière de services d’intermédiation de données peut percevoir une redevance réduite ou renoncer à la redevance.
12.	Les prestataires de services d’intermédiation de données notifient à l’autorité compétente en matière de services d’intermédiation de données toute modification des renseignements communiqués en vertu du paragraphe 6 dans un délai de quatorze jours à compter de la date de la modification.
13.	Lorsqu’un prestataire de services d’intermédiation de données cesse ses activités, il le notifie dans un délai de quinze jours à l’autorité compétente en matière de services d’intermédiation de données concernée, déterminée conformément aux paragraphes 1, 2 et 3.
14.	L’autorité compétente en matière de services d’intermédiation de données notifie à la Commission, sans retard et par voie électronique, chaque notification visée aux paragraphes 12 et 13. La Commission met à jour en conséquence le registre public des prestataires de services d’intermédiation de données dans l’Union</t>
  </si>
  <si>
    <t>Autorités compétentes en matière de services d’intermédiation de données
1.	Chaque État membre désigne une ou plusieurs autorités compétentes pour effectuer les tâches liées à la procédure de notification pour les services d’intermédiation de données et notifie à la Commission l’identité de ces autorités compétentes au plus tard le 24 septembre 2023. Chaque État membre notifie également à la Commission toute modification ultérieure de l’identité de ces autorités compétentes.
2.	Les autorités compétentes en matière de services d’intermédiation de données respectent les exigences énoncées à l’article 26.
3.	Les pouvoirs des autorités compétentes en matière de services d’intermédiation de données sont sans préjudice des pouvoirs des autorités chargées de la protection des données, des autorités nationales de la concurrence, des autorités chargées de la cybersécurité et des autres autorités sectorielles concernées. Dans le respect de leurs compétences respectives au titre du droit de l’Union et du droit national, ces autorités établissent une coopération solide et échangent les informations qui sont nécessaires à l’accomplissement de leurs tâches en rapport avec les prestataires de services d’intermédiation de données, et visent à assurer la cohérence des décisions prises en application du présent règlement.</t>
  </si>
  <si>
    <t>Contrôle du respect des dispositions
1.	Les autorités compétentes en matière de services d’intermédiation de données contrôlent et surveillent le respect par les prestataires de services d’intermédiation de données des exigences énoncées dans le présent chapitre. Les autorités compétentes en matière de services d’intermédiation de données peuvent également contrôler et surveiller le respect par les prestataires de services d’intermédiation de données de leurs obligations, sur la base d’une demande présentée par une personne physique ou morale.
2.	Les autorités compétentes en matière de services d’intermédiation de données ont le pouvoir de demander aux prestataires de services d’intermédiation de données ou à leurs représentants légaux toutes les informations nécessaires pour vérifier le respect des exigences énoncées dans le présent chapitre. Toute demande d’information est proportionnée à l’accomplissement de la tâche et est motivée.
3.	Lorsque l’autorité compétente en matière de services d’intermédiation de données constate qu’un prestataire de services d’intermédiation de données ne respecte pas une ou plusieurs des exigences énoncées dans le présent chapitre, elle notifie ces constatations audit prestataire de services d’intermédiation de données et lui donne la possibilité d’exposer son point de vue dans un délai de trente jours à compter de la réception de la notification.
4.	L’autorité compétente en matière de services d’intermédiation de données a le pouvoir d’exiger qu’il soit mis fin à l’infraction visée au paragraphe 3, dans un délai raisonnable, ou immédiatement dans le cas d’une infraction grave, et prend des mesures appropriées et proportionnées visant à garantir le respect des obligations. À cet égard, les autorités compétentes en matière de services d’intermédiation de données ont le pouvoir, le cas échéant:
a)	D’imposer, par le biais de procédures administratives, des sanctions financières dissuasives, pouvant comporter des astreintes et des sanctions avec effet rétroactif, d’engager des procédures judiciaires en vue d’infliger des amendes, ou les deux;
b)	D’exiger un report du début de la fourniture du service d’intermédiation de données ou une suspension de cette fourniture jusqu’à ce que les modifications des conditions demandées par l’autorité compétente en matière de services d’intermédiation de données aient été réalisées; ou
c)	D’exiger la cessation de la fourniture du service d’intermédiation de données dans le cas où il n’a pas été remédié à des infractions graves ou répétées malgré l’envoi d’une notification préalable conformément au paragraphe 3.
L’autorité compétente en matière de services d’intermédiation de données demande à la Commission de radier le prestataire de services d’intermédiation de données du registre des prestataires de services d’intermédiation de données, une fois qu’elle a ordonné la cessation de la fourniture du service d’intermédiation de données conformément au premier alinéa, point c).
Si un prestataire de service d’intermédiation de données remédie aux infractions, ledit prestataire de service d’intermédiation de données adresse une nouvelle notification à l’autorité compétente en matière de services d’intermédiation de données. L’autorité compétente en matière de services d’intermédiation de données notifie à la Commission chaque nouvelle renotification.
5.	Lorsqu’un prestataire de services d’intermédiation de données qui n’est pas établi dans l’Union ne désigne pas de représentant légal ou que ce représentant légal, bien que l’autorité compétente en matière de services d’intermédiation de données lui en fasse la demande, ne fournit pas les informations nécessaires prouvant de manière exhaustive le respect du présent règlement, l’autorité compétente en matière de services d’intermédiation de données a le pouvoir de reporter le début de la fourniture du service d’intermédiation de données ou de suspendre cette fourniture jusqu’à ce que le représentant légal soit désigné ou que les informations nécessaires soient fournies.
6.	Les autorités compétentes en matière de services d’intermédiation de données notifient sans retard au prestataire de services d’intermédiation de données concerné les mesures imposées au titre des paragraphes 4 et 5, leur motivation, ainsi que les mesures dont l’adoption est nécessaire pour corriger les manquements constatés, et fixent au prestataire de services d’intermédiation de données concerné un délai raisonnable, ne dépassant pas trente jours, pour se conformer à ces mesures.
7.	Si un prestataire de services d’intermédiation de données a son établissement principal ou son représentant légal dans un État membre mais fournit des services dans d’autres États membres, l’autorité compétente en matière de services d’intermédiation de données de l’État membre où est situé l’établissement principal ou dans lequel se trouve le représentant légal et les autorités compétentes en matière de services d’intermédiation de données de ces autres États membres coopèrent et se prêtent assistance. Cette assistance et cette coopération peuvent porter sur les échanges d’informations entre les autorités compétentes en matière de services d’intermédiation de données concernées aux fins de l’accomplissement de leurs tâches au titre du présent règlement et sur les demandes motivées de prendre les mesures visées au présent article.
Lorsqu’une autorité compétente en matière de services d’intermédiation de données dans un État membre sollicite l’assistance d’une autorité compétente en matière de services d’intermédiation de données d’un autre État membre, elle présente une demande motivée. Lorsqu’elle reçoit une telle demande, l’autorité compétente en matière de services d’intermédiation de données fournit une réponse sans retard et dans des délais proportionnés à l’urgence de la demande.
Toutes les informations échangées dans le cadre de la demande d’assistance et fournies au titre du présent paragraphe ne sont utilisées qu’aux fins pour lesquelles elles ont été demandées.</t>
  </si>
  <si>
    <t>Décret n° 2018-384 du 23 mai 2018 relatif à la sécurité des réseaux et systèmes d'information des opérateurs de services essentiels et des fournisseurs de service numérique</t>
  </si>
  <si>
    <r>
      <t xml:space="preserve">Respecter les </t>
    </r>
    <r>
      <rPr>
        <b/>
        <sz val="12"/>
        <rFont val="Times New Roman"/>
        <family val="1"/>
      </rPr>
      <t>objectifs de sécurité</t>
    </r>
    <r>
      <rPr>
        <sz val="12"/>
        <rFont val="Times New Roman"/>
        <family val="1"/>
      </rPr>
      <t xml:space="preserve"> : protection des données, gestion des accès, traçabilité, mise à jour, résilience, sécurité dès la conception et par défaut.</t>
    </r>
  </si>
  <si>
    <r>
      <t>L’</t>
    </r>
    <r>
      <rPr>
        <b/>
        <sz val="12"/>
        <rFont val="Times New Roman"/>
        <family val="1"/>
      </rPr>
      <t>autoévaluation</t>
    </r>
    <r>
      <rPr>
        <sz val="12"/>
        <rFont val="Times New Roman"/>
        <family val="1"/>
      </rPr>
      <t xml:space="preserve"> est possible uniquement pour les produits à </t>
    </r>
    <r>
      <rPr>
        <b/>
        <sz val="12"/>
        <rFont val="Times New Roman"/>
        <family val="1"/>
      </rPr>
      <t>faible risque</t>
    </r>
    <r>
      <rPr>
        <sz val="12"/>
        <rFont val="Times New Roman"/>
        <family val="1"/>
      </rPr>
      <t xml:space="preserve"> ; l’entreprise doit rédiger une déclaration de conformité, conserver les documents, et les transmettre à l’autorité.</t>
    </r>
  </si>
  <si>
    <r>
      <t xml:space="preserve">Le </t>
    </r>
    <r>
      <rPr>
        <b/>
        <sz val="12"/>
        <rFont val="Times New Roman"/>
        <family val="1"/>
      </rPr>
      <t>schéma de certification</t>
    </r>
    <r>
      <rPr>
        <sz val="12"/>
        <rFont val="Times New Roman"/>
        <family val="1"/>
      </rPr>
      <t xml:space="preserve"> inclut des règles techniques, des exigences, méthodes, niveaux d’assurance, conditions d’usage de la marque CE et procédures de mise en conformité.</t>
    </r>
  </si>
  <si>
    <r>
      <t xml:space="preserve">Fournir </t>
    </r>
    <r>
      <rPr>
        <b/>
        <sz val="12"/>
        <rFont val="Times New Roman"/>
        <family val="1"/>
      </rPr>
      <t>des infos publiques sur la cybersécurité</t>
    </r>
    <r>
      <rPr>
        <sz val="12"/>
        <rFont val="Times New Roman"/>
        <family val="1"/>
      </rPr>
      <t xml:space="preserve"> : guides d’usage sécurisé, durée de support sécurité, contact pour signaler les vulnérabilités, liens vers bases de vulnérabilités.</t>
    </r>
  </si>
  <si>
    <r>
      <t xml:space="preserve">Les </t>
    </r>
    <r>
      <rPr>
        <b/>
        <sz val="12"/>
        <rFont val="Times New Roman"/>
        <family val="1"/>
      </rPr>
      <t>autorités de certification</t>
    </r>
    <r>
      <rPr>
        <sz val="12"/>
        <rFont val="Times New Roman"/>
        <family val="1"/>
      </rPr>
      <t xml:space="preserve"> font l’objet d’</t>
    </r>
    <r>
      <rPr>
        <b/>
        <sz val="12"/>
        <rFont val="Times New Roman"/>
        <family val="1"/>
      </rPr>
      <t>examens par les pairs</t>
    </r>
    <r>
      <rPr>
        <sz val="12"/>
        <rFont val="Times New Roman"/>
        <family val="1"/>
      </rPr>
      <t xml:space="preserve"> pour garantir la fiabilité des certifications. (Pas une exigence directe pour l’entreprise, mais impacte la supervision.)</t>
    </r>
  </si>
  <si>
    <t>L’ARCEP définit les règles d’interopérabilité/portabilité pour les services cloud. Les fournisseurs doivent se conformer à ces règles sauf en cas de services sur mesure. Publication obligatoire d’offres techniques. Exemptions pour services à usage spécifique ou en phase de test.</t>
  </si>
  <si>
    <t xml:space="preserve">
I. - L'Autorité de régulation des communications électroniques, des postes et de la distribution de la presse précise les règles et les modalités de mise en œuvre des exigences mentionnées au II de l'article 28, notamment par l'édiction de spécifications d'interopérabilité et de portabilité. Elle peut, à cet effet, demander à un ou plusieurs organismes de normalisation de lui faire des propositions.
Pour l'édiction de ces spécifications, l'autorité mentionnée au premier alinéa du présent I fait la distinction entre, d'une part, les services correspondant à des ressources informatiques modulables et variables limitées à des éléments d'infrastructure tels que les serveurs, les réseaux et les ressources virtuelles nécessaires à l'exploitation de l'infrastructure, sans donner accès aux services, logiciels et applications d'exploitation qui sont stockés, traités ou déployés sur ces éléments d'infrastructure, et, d'autre part, les autres services d'informatique en nuage. Elle veille également à la bonne articulation de ces spécifications avec celles édictées par les autorités compétentes des autres Etats membres de l'Union européenne ou figurant au sein des codes de conduite européens relatifs aux services d'informatique en nuage.
II. - Lorsque les exigences mentionnées au II de l'article 28 sont précisées dans les conditions définies au I du présent article, les fournisseurs de services d'informatique en nuage assurent la conformité de leurs services à ces exigences et à ces modalités.
Ils publient et mettent à jour régulièrement une offre de référence technique d'interopérabilité précisant les conditions de mise en conformité de leurs services avec les exigences mentionnées au II de l'article 28, précisées, le cas échéant, par les décisions de l'autorité mentionnée au I du présent article.
III. - Les fournisseurs de services d'informatique en nuage dont les services correspondent à des ressources informatiques modulables et variables limitées à des éléments d'infrastructure tels que les serveurs, les réseaux et les ressources virtuelles nécessaires à l'exploitation de l'infrastructure, sans donner accès ni aux services, ni aux logiciels, ni aux applications d'exploitation qui sont stockés, traités ou déployés sur ces éléments d'infrastructure, prennent les mesures raisonnables en leur pouvoir afin de faciliter une équivalence fonctionnelle dans l'utilisation du service de destination, lorsqu'il couvre le même type de fonctionnalités.
IV. - Les obligations définies au premier alinéa du II et au III ne s'appliquent pas aux services d'informatique en nuage dont la majorité des caractéristiques principales ont été conçues sur mesure pour répondre aux besoins spécifiques d'un client particulier ou dont tous les composants ont été développés pour les besoins d'un client spécifique et qui ne sont pas offerts à grande échelle sur le plan commercial par l'intermédiaire du catalogue de services du fournisseur de services d'informatique en nuage.
Les obligations définies à l'article 28 et au présent article ne s'appliquent pas aux services d'informatique en nuage fournis en tant que version non destinée à la production à des fins d'essai et d'évaluation pour une durée limitée.
Avant la conclusion d'un contrat, le fournisseur de services indique au client potentiel si les exemptions aux obligations prévues à l'article 28 et au présent article s'appliquent aux services fournis.
V. - Les conditions d'application du présent article et le délai de précision des règles et des modalités de mise en œuvre des exigences mentionnées au II de l'article 28 sont précisés par un décret pris après avis de l'Autorité de régulation des communications électroniques, des postes et de la distribution de la presse.</t>
  </si>
  <si>
    <t>L’ARCEP peut recueillir des informations, mener des enquêtes, résoudre des différends, et sanctionner les manquements aux obligations des fournisseurs cloud (amendes jusqu’à 5% du CA mondial). Peut saisir l’Autorité de la concurrence en cas d’abus.</t>
  </si>
  <si>
    <t>Obligation de recourir à des services cloud garantissant la protection des données sensibles contre l’accès par des États tiers. Dérogation possible pour projets en cours. Un décret précisera les conditions, et un rapport au Parlement est prévu sous 18 mois.</t>
  </si>
  <si>
    <t>Obligation de publier les juridictions des infrastructures, les mesures de protection des données, et l’empreinte environnementale (carbone, eau, énergie). Un décret définira les modalités et seuils d’application</t>
  </si>
  <si>
    <t>• Les accords exclusifs sur les données publiques sensibles sont interdits.
• Exceptions possibles si cela est nécessaire pour fournir un service d’intérêt général.
• Ces accords doivent respecter la transparence, l’égalité de traitement et la non-discrimination, et ne peuvent excéder 12 mois.
• Toute exclusivité doit être publiée en ligne.
• Les accords existants non conformes prennent fin au plus tard le 24 décembre 2024.</t>
  </si>
  <si>
    <t>• Toute entité voulant offrir un service d’intermédiation de données doit notifier l’autorité compétente.
• Obligation de désigner un représentant légal dans l’UE si elle n’y est pas établie.
• La notification donne droit à opérer dans toute l’UE.
• Détails requis dans la notification : identité, forme juridique, description des services, site web, etc.
• L’autorité peut percevoir des frais proportionnés, avec réduction possible pour PME/start-ups.
• L’entreprise peut afficher un label et logo officiel une fois reconnue.
• Toute modification ou cessation d’activité doit être notifiée rapidement.</t>
  </si>
  <si>
    <t>• Chaque État membre désigne une ou plusieurs autorités pour la gestion des notifications.
• Ces autorités coopèrent avec d'autres organismes (protection des données, concurrence, cybersécurité, etc.) pour garantir la cohérence des décisions.</t>
  </si>
  <si>
    <t>• Les autorités peuvent contrôler, enquêter et sanctionner les prestataires en cas de non-respect.
• Elles peuvent exiger des informations, suspendre ou interdire le service, ou infliger des sanctions (astreintes, amendes).
• Les prestataires ont un délai de 30 jours pour répondre à une mise en demeure.
• En cas de non-conformité persistante, le prestataire est radié du registre européen.
• Coopération renforcée entre les autorités des différents États membres.</t>
  </si>
  <si>
    <t>Remplacé par NIS 2</t>
  </si>
  <si>
    <r>
      <t>Obligation d’</t>
    </r>
    <r>
      <rPr>
        <b/>
        <sz val="11"/>
        <rFont val="Times New Roman"/>
        <family val="1"/>
      </rPr>
      <t>informer les personnes concernées</t>
    </r>
    <r>
      <rPr>
        <sz val="11"/>
        <rFont val="Times New Roman"/>
        <family val="1"/>
      </rPr>
      <t xml:space="preserve"> sur le traitement avant son début (nature, finalité, durée, droits, etc.).</t>
    </r>
  </si>
  <si>
    <r>
      <t xml:space="preserve">Le droit d’accès peut être </t>
    </r>
    <r>
      <rPr>
        <b/>
        <sz val="11"/>
        <rFont val="Times New Roman"/>
        <family val="1"/>
      </rPr>
      <t>limité</t>
    </r>
    <r>
      <rPr>
        <sz val="11"/>
        <rFont val="Times New Roman"/>
        <family val="1"/>
      </rPr>
      <t xml:space="preserve"> pour raisons scientifiques ou de </t>
    </r>
    <r>
      <rPr>
        <b/>
        <sz val="11"/>
        <rFont val="Times New Roman"/>
        <family val="1"/>
      </rPr>
      <t>protection de la personne</t>
    </r>
    <r>
      <rPr>
        <sz val="11"/>
        <rFont val="Times New Roman"/>
        <family val="1"/>
      </rPr>
      <t>.</t>
    </r>
  </si>
  <si>
    <r>
      <t xml:space="preserve">Le </t>
    </r>
    <r>
      <rPr>
        <b/>
        <sz val="11"/>
        <rFont val="Times New Roman"/>
        <family val="1"/>
      </rPr>
      <t>droit d’accès s’applique à tous les responsables et sous-traitants</t>
    </r>
    <r>
      <rPr>
        <sz val="11"/>
        <rFont val="Times New Roman"/>
        <family val="1"/>
      </rPr>
      <t>.</t>
    </r>
  </si>
  <si>
    <r>
      <t xml:space="preserve">Obligation de </t>
    </r>
    <r>
      <rPr>
        <b/>
        <sz val="11"/>
        <rFont val="Times New Roman"/>
        <family val="1"/>
      </rPr>
      <t>permettre l’envoi électronique</t>
    </r>
    <r>
      <rPr>
        <sz val="11"/>
        <rFont val="Times New Roman"/>
        <family val="1"/>
      </rPr>
      <t xml:space="preserve"> des demandes de rectification ou effacement.</t>
    </r>
  </si>
  <si>
    <r>
      <t>Droit d’</t>
    </r>
    <r>
      <rPr>
        <b/>
        <sz val="11"/>
        <rFont val="Times New Roman"/>
        <family val="1"/>
      </rPr>
      <t>accès aux données</t>
    </r>
    <r>
      <rPr>
        <sz val="11"/>
        <rFont val="Times New Roman"/>
        <family val="1"/>
      </rPr>
      <t xml:space="preserve"> : si refus, recours à l’INPDP. L’Instance statue sous un mois.</t>
    </r>
  </si>
  <si>
    <r>
      <t xml:space="preserve">En cas de </t>
    </r>
    <r>
      <rPr>
        <b/>
        <sz val="11"/>
        <rFont val="Times New Roman"/>
        <family val="1"/>
      </rPr>
      <t>litige sur l’exactitude</t>
    </r>
    <r>
      <rPr>
        <sz val="11"/>
        <rFont val="Times New Roman"/>
        <family val="1"/>
      </rPr>
      <t>, le traitement doit signaler l’existence du différend.</t>
    </r>
  </si>
  <si>
    <r>
      <t xml:space="preserve">Données doivent être </t>
    </r>
    <r>
      <rPr>
        <b/>
        <sz val="11"/>
        <rFont val="Times New Roman"/>
        <family val="1"/>
      </rPr>
      <t>collectées directement</t>
    </r>
    <r>
      <rPr>
        <sz val="11"/>
        <rFont val="Times New Roman"/>
        <family val="1"/>
      </rPr>
      <t xml:space="preserve"> auprès de la personne. Sinon, </t>
    </r>
    <r>
      <rPr>
        <b/>
        <sz val="11"/>
        <rFont val="Times New Roman"/>
        <family val="1"/>
      </rPr>
      <t>consentement requis</t>
    </r>
    <r>
      <rPr>
        <sz val="11"/>
        <rFont val="Times New Roman"/>
        <family val="1"/>
      </rPr>
      <t xml:space="preserve"> sauf exceptions légales.</t>
    </r>
  </si>
  <si>
    <r>
      <t xml:space="preserve">La </t>
    </r>
    <r>
      <rPr>
        <b/>
        <sz val="11"/>
        <rFont val="Times New Roman"/>
        <family val="1"/>
      </rPr>
      <t>destruction de données</t>
    </r>
    <r>
      <rPr>
        <sz val="11"/>
        <rFont val="Times New Roman"/>
        <family val="1"/>
      </rPr>
      <t xml:space="preserve"> nécessite l’avis des autorités et l’</t>
    </r>
    <r>
      <rPr>
        <b/>
        <sz val="11"/>
        <rFont val="Times New Roman"/>
        <family val="1"/>
      </rPr>
      <t>autorisation de l’INPDP</t>
    </r>
    <r>
      <rPr>
        <sz val="11"/>
        <rFont val="Times New Roman"/>
        <family val="1"/>
      </rPr>
      <t>.</t>
    </r>
  </si>
  <si>
    <r>
      <t xml:space="preserve">Communication à des tiers interdite sans </t>
    </r>
    <r>
      <rPr>
        <b/>
        <sz val="11"/>
        <rFont val="Times New Roman"/>
        <family val="1"/>
      </rPr>
      <t>consentement écrit</t>
    </r>
    <r>
      <rPr>
        <sz val="11"/>
        <rFont val="Times New Roman"/>
        <family val="1"/>
      </rPr>
      <t>, sauf cas exceptionnels (sécurité, justice, défense…).</t>
    </r>
  </si>
  <si>
    <r>
      <t xml:space="preserve">Pour réutiliser des données à des </t>
    </r>
    <r>
      <rPr>
        <b/>
        <sz val="11"/>
        <rFont val="Times New Roman"/>
        <family val="1"/>
      </rPr>
      <t>fins scientifiques ou historiques</t>
    </r>
    <r>
      <rPr>
        <sz val="11"/>
        <rFont val="Times New Roman"/>
        <family val="1"/>
      </rPr>
      <t xml:space="preserve">, il faut </t>
    </r>
    <r>
      <rPr>
        <b/>
        <sz val="11"/>
        <rFont val="Times New Roman"/>
        <family val="1"/>
      </rPr>
      <t>consentement + autorisation de l’INPDP</t>
    </r>
    <r>
      <rPr>
        <sz val="11"/>
        <rFont val="Times New Roman"/>
        <family val="1"/>
      </rPr>
      <t>.</t>
    </r>
  </si>
  <si>
    <r>
      <t>Interdiction absolue</t>
    </r>
    <r>
      <rPr>
        <sz val="11"/>
        <rFont val="Times New Roman"/>
        <family val="1"/>
      </rPr>
      <t xml:space="preserve"> de transfert vers un pays étranger si cela menace la sécurité ou les intérêts vitaux de la Tunisie.</t>
    </r>
  </si>
  <si>
    <r>
      <t xml:space="preserve">Le transfert est autorisé seulement si le pays destinataire offre un </t>
    </r>
    <r>
      <rPr>
        <b/>
        <sz val="11"/>
        <rFont val="Times New Roman"/>
        <family val="1"/>
      </rPr>
      <t>niveau de protection adéquat</t>
    </r>
    <r>
      <rPr>
        <sz val="11"/>
        <rFont val="Times New Roman"/>
        <family val="1"/>
      </rPr>
      <t>.</t>
    </r>
  </si>
  <si>
    <r>
      <t>Autorisation obligatoire de l’INPDP</t>
    </r>
    <r>
      <rPr>
        <sz val="11"/>
        <rFont val="Times New Roman"/>
        <family val="1"/>
      </rPr>
      <t xml:space="preserve"> pour tout transfert vers l’étranger.</t>
    </r>
  </si>
  <si>
    <r>
      <t xml:space="preserve">Obligation de </t>
    </r>
    <r>
      <rPr>
        <b/>
        <sz val="11"/>
        <rFont val="Times New Roman"/>
        <family val="1"/>
      </rPr>
      <t>corriger ou effacer</t>
    </r>
    <r>
      <rPr>
        <sz val="11"/>
        <rFont val="Times New Roman"/>
        <family val="1"/>
      </rPr>
      <t xml:space="preserve"> les données inexactes sur demande de la personne concernée.</t>
    </r>
  </si>
  <si>
    <r>
      <t xml:space="preserve">Obligation de </t>
    </r>
    <r>
      <rPr>
        <b/>
        <sz val="11"/>
        <rFont val="Times New Roman"/>
        <family val="1"/>
      </rPr>
      <t>détruire les données</t>
    </r>
    <r>
      <rPr>
        <sz val="11"/>
        <rFont val="Times New Roman"/>
        <family val="1"/>
      </rPr>
      <t xml:space="preserve"> lorsque la durée de conservation est expirée ou le but atteint.</t>
    </r>
  </si>
  <si>
    <r>
      <t xml:space="preserve">Les données de santé ne peuvent être traitées que par des </t>
    </r>
    <r>
      <rPr>
        <b/>
        <sz val="11"/>
        <rFont val="Times New Roman"/>
        <family val="1"/>
      </rPr>
      <t>professionnels soumis au secret médical</t>
    </r>
    <r>
      <rPr>
        <sz val="11"/>
        <rFont val="Times New Roman"/>
        <family val="1"/>
      </rPr>
      <t>.</t>
    </r>
  </si>
  <si>
    <r>
      <t xml:space="preserve">Le traitement ne peut </t>
    </r>
    <r>
      <rPr>
        <b/>
        <sz val="11"/>
        <rFont val="Times New Roman"/>
        <family val="1"/>
      </rPr>
      <t>dépasser la durée nécessaire</t>
    </r>
    <r>
      <rPr>
        <sz val="11"/>
        <rFont val="Times New Roman"/>
        <family val="1"/>
      </rPr>
      <t xml:space="preserve"> à l’objectif.</t>
    </r>
  </si>
  <si>
    <r>
      <t xml:space="preserve">Les données collectées pour la recherche ne peuvent être utilisées </t>
    </r>
    <r>
      <rPr>
        <b/>
        <sz val="11"/>
        <rFont val="Times New Roman"/>
        <family val="1"/>
      </rPr>
      <t>que pour la recherche scientifique</t>
    </r>
    <r>
      <rPr>
        <sz val="11"/>
        <rFont val="Times New Roman"/>
        <family val="1"/>
      </rPr>
      <t>.</t>
    </r>
  </si>
  <si>
    <r>
      <t xml:space="preserve">Les données scientifiques doivent </t>
    </r>
    <r>
      <rPr>
        <b/>
        <sz val="11"/>
        <rFont val="Times New Roman"/>
        <family val="1"/>
      </rPr>
      <t>éviter l’identification</t>
    </r>
    <r>
      <rPr>
        <sz val="11"/>
        <rFont val="Times New Roman"/>
        <family val="1"/>
      </rPr>
      <t xml:space="preserve"> directe, sauf nécessité.</t>
    </r>
  </si>
  <si>
    <r>
      <t xml:space="preserve">La </t>
    </r>
    <r>
      <rPr>
        <b/>
        <sz val="11"/>
        <rFont val="Times New Roman"/>
        <family val="1"/>
      </rPr>
      <t>diffusion des données</t>
    </r>
    <r>
      <rPr>
        <sz val="11"/>
        <rFont val="Times New Roman"/>
        <family val="1"/>
      </rPr>
      <t xml:space="preserve"> scientifiques nécessite </t>
    </r>
    <r>
      <rPr>
        <b/>
        <sz val="11"/>
        <rFont val="Times New Roman"/>
        <family val="1"/>
      </rPr>
      <t>consentement</t>
    </r>
    <r>
      <rPr>
        <sz val="11"/>
        <rFont val="Times New Roman"/>
        <family val="1"/>
      </rPr>
      <t xml:space="preserve"> ou justifications scientifiques solides.</t>
    </r>
  </si>
  <si>
    <r>
      <t xml:space="preserve">La </t>
    </r>
    <r>
      <rPr>
        <b/>
        <sz val="11"/>
        <rFont val="Times New Roman"/>
        <family val="1"/>
      </rPr>
      <t>vidéosurveillance</t>
    </r>
    <r>
      <rPr>
        <sz val="11"/>
        <rFont val="Times New Roman"/>
        <family val="1"/>
      </rPr>
      <t xml:space="preserve"> est soumise à </t>
    </r>
    <r>
      <rPr>
        <b/>
        <sz val="11"/>
        <rFont val="Times New Roman"/>
        <family val="1"/>
      </rPr>
      <t>autorisation préalable de l’INPDP</t>
    </r>
    <r>
      <rPr>
        <sz val="11"/>
        <rFont val="Times New Roman"/>
        <family val="1"/>
      </rPr>
      <t>.</t>
    </r>
  </si>
  <si>
    <r>
      <t xml:space="preserve">Vidéosurveillance autorisée dans </t>
    </r>
    <r>
      <rPr>
        <b/>
        <sz val="11"/>
        <rFont val="Times New Roman"/>
        <family val="1"/>
      </rPr>
      <t>lieux publics, transports, lieux de travail collectifs</t>
    </r>
    <r>
      <rPr>
        <sz val="11"/>
        <rFont val="Times New Roman"/>
        <family val="1"/>
      </rPr>
      <t>.</t>
    </r>
  </si>
  <si>
    <r>
      <t xml:space="preserve">Utilisation de vidéos seulement si </t>
    </r>
    <r>
      <rPr>
        <b/>
        <sz val="11"/>
        <rFont val="Times New Roman"/>
        <family val="1"/>
      </rPr>
      <t>nécessaire pour sécurité</t>
    </r>
    <r>
      <rPr>
        <sz val="11"/>
        <rFont val="Times New Roman"/>
        <family val="1"/>
      </rPr>
      <t xml:space="preserve">, </t>
    </r>
    <r>
      <rPr>
        <b/>
        <sz val="11"/>
        <rFont val="Times New Roman"/>
        <family val="1"/>
      </rPr>
      <t>sans enregistrement sonore</t>
    </r>
    <r>
      <rPr>
        <sz val="11"/>
        <rFont val="Times New Roman"/>
        <family val="1"/>
      </rPr>
      <t>.</t>
    </r>
  </si>
  <si>
    <r>
      <t xml:space="preserve">Le public doit être </t>
    </r>
    <r>
      <rPr>
        <b/>
        <sz val="11"/>
        <rFont val="Times New Roman"/>
        <family val="1"/>
      </rPr>
      <t>clairement informé</t>
    </r>
    <r>
      <rPr>
        <sz val="11"/>
        <rFont val="Times New Roman"/>
        <family val="1"/>
      </rPr>
      <t xml:space="preserve"> de la présence de caméras.</t>
    </r>
  </si>
  <si>
    <r>
      <t xml:space="preserve">Communication des vidéos uniquement avec </t>
    </r>
    <r>
      <rPr>
        <b/>
        <sz val="11"/>
        <rFont val="Times New Roman"/>
        <family val="1"/>
      </rPr>
      <t>consentement</t>
    </r>
    <r>
      <rPr>
        <sz val="11"/>
        <rFont val="Times New Roman"/>
        <family val="1"/>
      </rPr>
      <t xml:space="preserve"> ou pour la </t>
    </r>
    <r>
      <rPr>
        <b/>
        <sz val="11"/>
        <rFont val="Times New Roman"/>
        <family val="1"/>
      </rPr>
      <t>justice et la sécurité publique</t>
    </r>
    <r>
      <rPr>
        <sz val="11"/>
        <rFont val="Times New Roman"/>
        <family val="1"/>
      </rPr>
      <t>.</t>
    </r>
  </si>
  <si>
    <r>
      <t xml:space="preserve">Les vidéos doivent être </t>
    </r>
    <r>
      <rPr>
        <b/>
        <sz val="11"/>
        <rFont val="Times New Roman"/>
        <family val="1"/>
      </rPr>
      <t>détruites</t>
    </r>
    <r>
      <rPr>
        <sz val="11"/>
        <rFont val="Times New Roman"/>
        <family val="1"/>
      </rPr>
      <t xml:space="preserve"> quand elles ne sont plus utiles ou si la personne concernée le demande.</t>
    </r>
  </si>
  <si>
    <r>
      <t>Est puni d’un emprisonnement de deux à cinq ans et d</t>
    </r>
    <r>
      <rPr>
        <b/>
        <sz val="12"/>
        <rFont val="Times New Roman"/>
        <family val="1"/>
      </rPr>
      <t>’une amende de cinq mille dinars à cinquante mille dinars</t>
    </r>
    <r>
      <rPr>
        <sz val="12"/>
        <rFont val="Times New Roman"/>
        <family val="1"/>
      </rPr>
      <t>, quiconque viole les dispositions de l’article 50 de la présente loi. La tentative est punissable.</t>
    </r>
  </si>
  <si>
    <t>loi n° 66 – 12 du 14 février 1966 relative à la propriété littéraire et artistique (Abrogée)</t>
  </si>
  <si>
    <t>1. Le présent règlement n’empêche pas les États membres de soumettre les produits comportant des éléments numériques à des exigences supplémentaires de cybersécurité en cas d’achats publics ou d’utilisation de ces produits à des fins spécifiques, y compris lorsque ces produits sont achetés ou utilisés à des fins de sécurité nationale ou de défense, à condition que ces exigences soient conformes aux obligations des États membres prévues par le droit de l’Union et qu’elles soient nécessaires et proportionnées à la poursuite de ces fins. 2. Sans préjudice des directives 2014/24/UE et 2014/25/UE, lors des achats publics de produits comportant des éléments numériques relevant du champ d’application du présent règlement, les États membres veillent à la prise en compte, au cours du processus d’achat public, du respect des exigences essentielles de cybersécurité énoncées à l’annexe I du présent règlement, y compris la capacité du fabricant à traiter efficacement les vulnérabilités.</t>
  </si>
  <si>
    <t>Les produits comportant des éléments numériques ne sont mis à disposition sur le marché que: a) s’ils satisfont aux exigences essentielles de cybersécurité énoncées à l’annexe I, partie I, à condition qu’ils soient correctement installés, entretenus et utilisés conformément à l’utilisation prévue ou dans des conditions raisonnablement prévisibles et, le cas échéant, que les mises à jour de sécurité nécessaires aient été installées; et b) si les processus mis en place par le fabricant sont conformes aux exigences essentielles de cybersécurité énoncées à l’annexe I, partie II.</t>
  </si>
  <si>
    <t>Renforcement des compétences dans un environnement numérique cyberrésilient Aux fins du présent règlement et afin de répondre aux besoins des professionnels à l’appui de la mise en œuvre du présent règlement, les États membres, avec, le cas échéant, le soutien de la Commission, du Centre européen de compétences en matière de cybersécurité et de l’ENISA, tout en respectant pleinement la responsabilité des États membres dans le domaine de l’éducation, favorisent des mesures et des stratégies visant: a) à développer des compétences en matière de cybersécurité et à créer des outils organisationnels et technologiques pour garantir une disponibilité suffisante de professionnels qualifiés afin de soutenir les activités des autorités de surveillance du marché et des organismes d’évaluation de la conformité; b) à renforcer la collaboration entre le secteur privé, les opérateurs économiques, y compris par la reconversion ou le perfectionnement des salariés des fabricants, les consommateurs, les prestataires de formation et les administrations publiques, élargissant ainsi les possibilités pour les jeunes d’accéder à des emplois dans le secteur de la cybersécurité.</t>
  </si>
  <si>
    <t>Par dérogation à l’article 2, paragraphe 1, troisième alinéa, point b), du règlement (UE) 2023/988, le chapitre III, section 1, les chapitres V et VII, et les chapitres IX à XI dudit règlement s’appliquent aux produits comportant des éléments numériques en ce qui concerne les aspects et les risques ou catégories de risques qui ne sont pas couverts par le présent règlement lorsque ces produits ne sont pas soumis à des exigences spécifiques prévues dans d’autres actes faisant partie de la législation d’harmonisation de l’Union au sens de l’article 3, point 27), du règlement (UE) 2023/988.</t>
  </si>
  <si>
    <t>1. Lorsqu’ils mettent sur le marché un produit comportant des éléments numériques, les fabricants s’assurent que ce produit a été conçu, développé et fabriqué conformément aux exigences essentielles de cybersécurité énoncées à l’annexe I, partie I.
2. Aux fins du respect du paragraphe 1, les fabricants procèdent à une évaluation des risques de cybersécurité associés à un produit comportant des éléments numériques et tiennent compte des résultats de cette évaluation au cours des phases de planification, de conception, de développement, de production, de livraison et de maintenance du produit comportant des éléments numériques, en vue de réduire au minimum les risques de cybersécurité, de prévenir les incidents et d’en réduire au minimum leurs répercussions, y compris en ce qui concerne la santé et la sécurité des utilisateurs.
3. L’évaluation des risques de cybersécurité est documentée et mise à jour selon les besoins au cours d’une période d’assistance à déterminer conformément au paragraphe 8 du présent article. Cette évaluation des risques de cybersécurité comprend au moins une analyse des risques de cybersécurité fondée sur l’utilisation prévue et l’utilisation raisonnablement prévisible, ainsi que sur les conditions d’utilisation du produit comportant des éléments numériques, tels que l’environnement opérationnel ou les actifs à protéger, compte tenu de la durée prévue d’utilisation du produit. L’évaluation des risques de cybersécurité indique si et, dans l’affirmative, de quelle manière, les exigences de sécurité énoncées à l’annexe I, partie I, point 2), sont applicables au produit comportant des éléments numériques concerné et comment ces exigences sont mises en œuvre sur la base de l’évaluation du risque de cybersécurité. Elle indique également de quelle manière le fabricant doit appliquer l’annexe I, partie I, point 1), ainsi que les exigences relatives à la gestion des vulnérabilités énoncées à l’annexe I, partie II.
4. Lorsqu’il met sur le marché un produit comportant des éléments numériques, le fabricant inclut l’évaluation des risques de cybersécurité visée au paragraphe 3 du présent article dans la documentation technique requise conformément à l’article 31 et à l’annexe VII. Pour les produits comportant des éléments numériques mentionnés à l’article 12, qui relèvent aussi d’autres actes juridiques de l’Union, l’évaluation des risques de cybersécurité peut faire partie de l’évaluation des risques prévue par ces actes juridiques de l’Union. Lorsque certaines exigences essentielles de cybersécurité ne sont pas applicables au produit comportant des éléments numériques, le fabricant fait figurer une justification claire dans cette documentation technique. 
5. Aux fins du respect de l’obligation énoncée au paragraphe 1, les fabricants font preuve de diligence raisonnable lorsqu’ils intègrent dans des produits comportant des éléments numériques des composants obtenus auprès de tiers, de sorte que ces composants ne compromettent pas la cybersécurité du produit comportant des éléments numériques, y compris lors de l’intégration de composants de logiciels libres et ouverts qui n’ont pas été mis à disposition sur le marché dans le cadre d’une activité commerciale.
6. Lorsqu’ils identifient une vulnérabilité dans un composant, y compris un composant logiciel ouvert, qui est intégré au produit comportant des éléments numériques, les fabricants signalent la vulnérabilité à la personne ou à l’entité qui assure la maintenance du composant, et s’attaquent et remédient à la vulnérabilité conformément aux exigences relatives à la gestion des vulnérabilités énoncées à l’annexe I, partie II. Lorsque les fabricants ont mis au point une modification logicielle ou matérielle pour remédier à la vulnérabilité de ce composant, ils partagent le code ou la documentation correspondants avec la personne ou l’entité qui fabrique le composant ou en assure la maintenance, dans un format lisible par machine s’il y a lieu.
7. Les fabricants documentent systématiquement, d’une manière proportionnée à la nature et à l’ampleur des risques de cybersécurité, les aspects pertinents pour la cybersécurité concernant le produit comportant des éléments numériques, y compris les vulnérabilités dont ils prennent connaissance et toute information pertinente fournie par des tiers, et, le cas échéant, mettent à jour l’évaluation des risques de cybersécurité du produit. 
8. Lorsqu’ils mettent sur le marché un produit comportant des éléments numériques, et pendant la période d’assistance, les fabricants veillent à ce que les vulnérabilités de ce produit, y compris de ses composants, soient gérées efficacement et conformément aux exigences essentielles de cybersécurité énoncées à l’annexe I, partie II.
Les fabricants fixent la période d’assistance de sorte qu’elle reflète la durée pendant laquelle le produit est censé pouvoir être utilisé, en tenant compte, en particulier, des attentes raisonnables des utilisateurs, de la nature du produit, y compris de son utilisation prévue, ainsi que du droit de l’Union applicable déterminant la durée de vie des produits comportant des éléments numériques. Lorsqu’ils déterminent la période d’assistance, les fabricants peuvent également tenir compte des périodes d’assistance des produits comportant des éléments numériques offrant une fonctionnalité similaire mis sur le marché par d’autres fabricants, de la disponibilité de l’environnement opérationnel, des périodes d’assistance des composants intégrés qui assurent des fonctions essentielles et proviennent de tiers, ainsi que des orientations pertinentes fournies par le groupe de coopération administrative (ADCO) institué en vertu de l’article 52, paragraphe 15, et par la Commission. Les éléments à prendre en compte pour définir la période d’assistance sont pris en compte de manière à garantir la proportionnalité. Sans préjudice du deuxième alinéa, la période d’assistance est d’au moins cinq ans. 
Lorsque le produit comportant des éléments numériques est censé pouvoir être utilisé pendant moins de cinq ans, la période d’assistance correspond à la durée d’utilisation prévue. Compte tenu des recommandations ADCO visées à l’article 52, paragraphe 16, la Commission peut adopter des actes délégués conformément à l’article 61 afin de compléter le présent règlement en précisant la période d’assistance minimale pour des catégories de produits spécifiques lorsque les données de surveillance du marché indiquent que les périodes d’assistance fixées sont insuffisantes.
 Les fabricants font figurer dans la documentation technique visée à l’annexe VII les informations qui ont été prises en compte pour déterminer la période d’assistance du produit comportant des éléments numériques. 
Les fabricants disposent de politiques et de procédures appropriées, notamment les politiques de divulgation coordonnée des vulnérabilités mentionnées à l’annexe I, partie II, point 5), pour traiter et corriger les vulnérabilités potentielles du produit comportant des éléments numériques signalées par des sources internes ou externes.
9. Les fabricants veillent à ce que chaque mise à jour de sécurité, visée à l’annexe I, partie II, point 8), qui a été mise à la disposition des utilisateurs au cours de la période d’assistance, reste disponible après son émission pendant dix ans au minimum ou pendant le reste de la période d’assistance, la période la plus longue étant retenue.
10. Lorsqu’un fabricant met sur le marché des versions ultérieures substantiellement modifiées d’un logiciel, il peut garantir la conformité avec l’exigence essentielle de cybersécurité énoncée à l’annexe I, partie II, point 2), uniquement pour la dernière version mise sur le marché, à condition que les utilisateurs des versions précédemment mises sur le marché aient accès gratuitement aux dernières versions mises sur le marché et ne doivent pas supporter des coûts supplémentaires pour adapter l’environnement matériel et logiciel dans lequel ils utilisent la version originale de ce produit. 
11. Les fabricants peuvent conserver des archives logicielles publiques améliorant l’accès des utilisateurs aux versions antérieures. Dans ces cas, les utilisateurs sont clairement informés, d’une manière aisément accessible, des risques associés à l’utilisation de logiciels non pris en charge. 
12. Avant de mettre sur le marché un produit comportant des éléments numériques, les fabricants établissent la documentation technique visée à l’article 31. Ils appliquent ou font appliquer les procédures d’évaluation de la conformité choisies visées à l’article 32.
Lorsqu’il a été démontré, au moyen de cette procédure d’évaluation de la conformité, que le produit comportant des éléments numériques est conforme aux exigences essentielles de cybersécurité énoncées à l’annexe I, partie I, et que les processus mis en place par le fabricant sont conformes aux exigences essentielles de cybersécurité énoncées à l’annexe I, partie II, les fabricants établissent la déclaration UE de conformité conformément à l’article 28 et appose le marquage CE conformément à l’article 30. 
13. Les fabricants tiennent la documentation technique et la déclaration UE de conformité à la disposition des autorités de surveillance du marché pendant une durée d’au moins dix ans après la mise sur le marché du produit comportant des éléments numériques ou pendant la période d’assistance, la période la plus longue étant retenue. 
14. Les fabricants veillent à ce que des procédures soient en place pour que la conformité avec le présent règlement des produits comportant des éléments numériques produits en série reste assurée. Les fabricants tiennent dûment compte des modifications du processus de développement et de production ou de la conception ou des caractéristiques du produit comportant des éléments numériques, ainsi que des modifications des normes harmonisées, des schémas européens de certification de cybersécurité ou des spécifications techniques visées à l’article 27 au regard desquelles la conformité du produit comportant des éléments numériques est déclarée ou en application desquelles sa conformité est vérifiée. 
15. Les fabricants veillent à ce que leurs produits comportant des éléments numériques portent un numéro de type, de lot ou de série ou tout autre élément permettant leur identification ou, lorsque cela n’est pas possible, à ce que cette information soit fournie sur l’emballage ou dans un document accompagnant le produit comportant des éléments numériques.
 16. Le fabricant indique son nom, sa raison sociale ou sa marque déposée et ses adresses postale, électronique ou autre moyen numérique, ainsi que, le cas échéant, l’adresse du site internet, auxquelles il peut être contacté sur le produit comportant des éléments numériques, sur son emballage ou dans un document l’accompagnant. Ces informations figurent également dans les informations et instructions destinées à l’utilisateur énoncées à l’annexe II. Les coordonnées sont indiquées dans une langue aisément compréhensible par les utilisateurs et les autorités de surveillance du marché. 
17. Aux fins du présent règlement, les fabricants désignent un point de contact unique pour permettre aux utilisateurs de communiquer directement et rapidement avec lui, y compris afin de faciliter le signalement des vulnérabilités des produits comportant des éléments numériques. Les fabricants veillent à ce que le point de contact unique soit facilement identifiable par les utilisateurs. Ils font également figurer le point de contact unique dans les informations et instructions destinées à l’utilisateur énoncées à l’annexe II. Le point de contact unique permet aux utilisateurs de choisir leurs moyens de communication préférés, ces moyens n’étant pas limités aux outils automatisés. 
18. Les fabricants veillent à ce que les produits comportant des éléments numériques soient accompagnés des informations et des instructions destinées à l’utilisateur énoncées à l’annexe II, sous forme papier ou électronique. Ces informations et instructions sont fournies dans une langue aisément compréhensible par les utilisateurs et les autorités de surveillance du marché. Elles sont claires, compréhensibles, intelligibles et lisibles. Elles permettent une installation, un fonctionnement et une utilisation sécurisés des produits comportant des éléments numériques. Les fabricants tiennent les informations et instructions destinées à l’utilisateur énoncées à l’annexe II à la disposition des utilisateurs et des autorités de surveillance du marché pendant une durée d’au moins dix ans après la mise sur le marché du produit comportant des éléments numériques ou pendant la période d’assistance, la période la plus longue étant retenue. Lorsque ces informations et instructions sont fournies en ligne, les fabricants veillent à ce qu’elles soient accessibles, faciles d’utilisation et disponibles en ligne pendant une durée d’au moins dix ans après la mise sur le marché du produit comportant des éléments numériques ou pendant la période d’assistance, la période la plus longue étant retenue. 
19. Les fabricants veillent à ce que la date de fin de la période d’assistance visée au paragraphe 8, y compris au moins le mois et l’année, soit précisée au moment de l’achat, d’une manière claire, compréhensible et aisément accessible et, le cas échéant, sur le produit comportant des éléments numériques, son emballage ou par des moyens numériques. Lorsque cela est techniquement possible compte tenu de la nature du produit comportant des éléments numériques, les fabricants prévoient l’affichage d’une notification aux utilisateurs les informant que leur produit comportant des éléments numériques a atteint la fin de sa période d’assistance.
 20. Les fabricants fournissent soit une copie de la déclaration UE de conformité, soit une déclaration UE de conformité simplifiée avec le produit comportant des éléments numériques. Dans le cas où une déclaration UE de conformité simplifiée est jointe, celle-ci contient l’adresse internet exacte à laquelle le texte complet de la déclaration UE de conformité est accessible.
21. Dès la mise sur le marché et pendant la période d’assistance, les fabricants qui considèrent ou ont des raisons de croire que le produit comportant des éléments numériques ou les processus mis en place par le fabricant ne sont pas conformes aux exigences essentielles de cybersécurité énoncées à l’annexe I prennent immédiatement les mesures correctives nécessaires pour mettre ce produit comportant des éléments numériques ou les processus du fabricant en conformité, ou pour procéder à leur retrait ou à leur rappel, selon le cas. 
22. Sur requête motivée d’une autorité de surveillance du marché, les fabricants communiquent à cette dernière, dans une langue aisément compréhensible par cette autorité, toutes les informations et tous les documents, sur support papier ou par voie électronique, nécessaires pour démontrer la conformité du produit comportant des éléments numériques et des processus mis en place par le fabricant aux exigences essentielles de cybersécurité énoncées à l’annexe I. Les fabricants coopèrent avec ladite autorité, à la demande de cette dernière, concernant toute mesure prise pour éliminer les risques de cybersécurité présentés par le produit comportant des éléments numériques qu’ils ont mis sur le marché. 
23. Un fabricant qui cesse ses activités et qui, de ce fait, n’est pas en mesure de se conformer au présent règlement informe, avant que cette cessation ne prenne effet, les autorités de surveillance du marché concernées, ainsi que, par tout moyen disponible et dans la mesure du possible, les utilisateurs des produits comportant des éléments numériques mis sur le marché concernés de la cessation imminente de ses activités. 
24. La Commission peut, par voie d’actes d’exécution tenant compte des normes et bonnes pratiques européennes et internationales, préciser le format et les éléments de la nomenclature des logiciels visée à l’annexe I, partie II, point 1). Ces actes d’exécution sont adoptés en conformité avec la procédure d’examen visée à l’article 62, paragraphe 2. 
25. Afin d’évaluer la dépendance des États membres et de l’Union dans son ensemble à l’égard des composants logiciels, et en particulier des composants qui répondent aux critères de logiciels libres et ouverts, l’ADCO peut décider de procéder à une évaluation de la dépendance à l’échelle de l’Union pour des catégories spécifiques de produits comportant des éléments numériques. À cette fin, les autorités de surveillance du marché peuvent demander aux fabricants de ces catégories de produits comportant des éléments numériques de fournir les nomenclatures des logiciels pertinentes du matériel visées à l’annexe I, partie II, point 1). Sur la base de ces informations, les autorités de surveillance du marché peuvent fournir à l’ADCO des informations anonymisées et agrégées sur les dépendances logicielles. L’ADCO soumet un rapport sur les résultats de l’évaluation de la dépendance au groupe de coopération institué en vertu de l’article 14 de la directive (UE) 2022/2555.</t>
  </si>
  <si>
    <t>1. Un fabricant notifie toute vulnérabilité activement exploitée contenue dans le produit comportant des éléments numériques dont il prend connaissance simultanément au CSIRT désigné comme coordinateur conformément au paragraphe 7 du présent article, et à l’ENISA. Le fabricant notifie cette vulnérabilité activement exploitée par l’intermédiaire de la plateforme unique de signalement établie en vertu de l’article 16. 
2. Aux fins de la notification visée au paragraphe 1, le fabricant soumet: 
a) une alerte précoce de vulnérabilité activement exploitée, sans retard injustifié et, en tout état de cause, au plus tard 24 heures après en avoir eu connaissance, en indiquant, le cas échéant, les États membres sur le territoire desquels il a connaissance que son produit comportant des éléments numériques a été mis à disposition;
b) à moins que les informations pertinentes n’aient déjà été communiquées, une notification de vulnérabilité, sans retard injustifié et, en tout état de cause, au plus tard 72 heures après avoir eu connaissance de la vulnérabilité activement exploitée, fournissant les informations générales disponibles sur le produit comportant des éléments numériques concerné, la nature générale de l’exploitation et de la vulnérabilité concernée, ainsi que toute mesure corrective ou d’atténuation prise et les mesures correctives ou d’atténuation que les utilisateurs peuvent prendre, et précisant, s’il y a lieu, le degré de sensibilité qu’il attribue aux informations notifiées;
c) à moins que les informations pertinentes n’aient déjà été communiquées, un rapport final, au plus tard 14 jours après la mise à disposition d’une mesure de correction ou d’atténuation, comprenant au moins les éléments suivants: 
i) une description de la vulnérabilité, y compris de sa gravité et de ses répercussions; 
ii) le cas échéant, des informations concernant tout acteur malveillant ayant exploité ou exploitant la vulnérabilité; 
iii) des précisions concernant la mise à jour de sécurité ou les autres mesures correctives qui ont été mises en place pour remédier à la vulnérabilité.
3. Un fabricant notifie tout incident grave ayant des répercussions sur la sécurité du produit comportant des éléments numériques dont il prend connaissance simultanément au CSIRT désigné comme coordinateur conformément au paragraphe 7 du présent article et à l’ENISA. Le fabricant notifie cet incident par l’intermédiaire de la plateforme unique de signalement établie en vertu de l’article 16. 
4. Aux fins de la notification visée au paragraphe 3, le fabricant soumet: 
a) une alerte précoce d’incident grave ayant des répercussions sur la sécurité du produit comportant des éléments numériques, sans retard injustifié et, en tout état de cause, au plus tard 24 heures après en avoir eu connaissance, indiquant, au minimum, si l’incident pourrait avoir été causé par des actes illicites ou malveillants et, le cas échéant, les États membres sur le territoire desquels il a connaissance que son produit comportant des éléments numériques a été mis à disposition; 
b) à moins que les informations pertinentes n’aient déjà été communiquées, une notification d’incident, sans retard injustifié et, en tout état de cause, au plus tard 72 heures après avoir eu connaissance de l’incident, fournissant les informations générales, lorsqu’elles sont disponibles, sur la nature de l’incident, l’évaluation initiale de l’incident, ainsi que toute mesure corrective ou d’atténuation prise et les mesures correctives ou d’atténuation que les utilisateurs peuvent prendre, et précisant, le cas échéant, le degré de sensibilité qu’il attribue aux informations notifiées; 
c) à moins que les informations pertinentes n’aient déjà été communiquées, dans un délai d’un mois à compter de la présentation de la notification d’incident visée au point
b), un rapport final comprenant au moins les éléments suivants: 
i) une description détaillée de l’incident, y compris de sa gravité et de ses répercussions; 
ii) le type de menace ou la cause profonde qui a probablement déclenché l’incident; 
iii) les mesures d’atténuation appliquées et en cours.
5. Aux fins du paragraphe 3, un incident ayant des répercussions sur la sécurité du produit comportant des éléments numériques est considéré comme grave lorsque:
 a) il entache ou est susceptible d’entacher la capacité d’un produit comportant des éléments numériques à protéger la disponibilité, l’authenticité, l’intégrité ou la confidentialité de données ou fonctions sensibles ou importantes; ou 
b) il a conduit ou est susceptible de conduire à l’introduction ou à l’exécution d’un code malveillant dans un produit comportant des éléments numériques ou dans le réseau et les systèmes d’information d’un utilisateur du produit comportant des éléments numériques. 
6. Si nécessaire, le CSIRT désigné comme coordinateur qui reçoit initialement la notification peut demander au fabricant de fournir un rapport intermédiaire de situation concernant la vulnérabilité activement exploitée ou l’incident grave ayant des répercussions sur la sécurité du produit comportant des éléments numériques. 
7. Les notifications visées aux paragraphes 1 et 3 du présent article sont soumises par l’intermédiaire de la plateforme unique de signalement visée à l’article 16 en utilisant l’un des points finaux de notification électronique visés à l’article 16, paragraphe 1. La notification est soumise au moyen du point final de notification électronique du CSIRT désigné comme coordinateur de l’État membre dans lequel le fabricant a son établissement principal dans l’Union et est simultanément mise à la disposition de l’ENISA. Aux fins du présent règlement, un fabricant est réputé avoir son établissement principal dans l’Union dans l’État membre où sont principalement prises les décisions relatives à la cybersécurité des produits comportant des éléments numériques. Si un tel État membre ne peut être déterminé, l’établissement principal est considéré comme se trouvant dans l’État membre où le fabricant concerné possède l’établissement comptant le plus grand nombre de salariés dans l’Union. Lorsqu’un fabricant n’a pas d’établissement principal dans l’Union, il soumet les notifications visées aux paragraphes 1 et 3 en utilisant le point final de notification électronique du CSIRT désigné comme coordinateur dans l’État membre déterminé conformément à l’ordre suivant, selon les informations dont dispose le fabricant: 
a) l’État membre dans lequel le mandataire agissant au nom du fabricant pour le plus grand nombre de produits comportant des éléments numériques de ce fabricant est établi;
b) l’État membre dans lequel l’importateur qui met sur le marché le plus grand nombre de produits comportant des éléments numériques de ce fabricant est établi;
c) l’État membre dans lequel le distributeur qui met à disposition sur le marché le plus grand nombre de produits comportant des éléments numériques de ce fabricant est établi; 
d) l’État membre dans lequel se trouvent le plus grand nombre d’utilisateurs de produits comportant des éléments numériques de ce fabricant. En ce qui concerne le troisième alinéa, point d), un fabricant peut soumettre des notifications relatives à tout nouveau cas de vulnérabilité activement exploitée ou d’incident grave ayant un impact sur la sécurité du produit comportant des éléments numériques au même CSIRT désigné comme coordinateur que celui avec lequel il a communiqué la première fois. 
8. Après avoir pris connaissance d’une vulnérabilité activement exploitée ou d’un incident grave ayant des répercussions sur la sécurité du produit comportant des éléments numériques, le fabricant informe les utilisateurs du produit comportant des éléments numériques touchés et, s’il y a lieu, tous les utilisateurs de ladite vulnérabilité ou dudit incident et, si nécessaire, de toute mesure corrective ou d’atténuation des risques que les utilisateurs peuvent mettre en place pour atténuer les répercussions de cette vulnérabilité ou de cet incident, s’il y a lieu dans un format structuré, lisible par machine pouvant être facilement traité automatiquement. Lorsque le fabricant n’informe pas les utilisateurs du produit comportant des éléments numériques en temps utile, les CSIRT notifiés désignés comme coordinateurs peuvent fournir ces informations aux utilisateurs lorsqu’ils le jugent proportionné et nécessaire pour prévenir ou atténuer les répercussions de cette vulnérabilité ou de cet incident. 
9. Au plus tard le 11 décembre 2025, la Commission adopte des actes délégués conformément à l’article 61 du présent règlement pour compléter le présent règlement en précisant les conditions d’application des motifs ayant trait à la cybersécurité en lien avec les retards de diffusion des notifications prévus à l’article 16, paragraphe 2, du présent règlement. La Commission coopère avec le réseau des CSIRT établi en vertu de l’article 15 de la directive (UE) 2022/2555 et l’ENISA pour préparer les projets d’actes délégués. 
10. La Commission peut, par voie d’actes d’exécution, préciser plus en détail le format et les procédures des notifications visées au présent article ainsi qu’aux articles 15 et 16. Ces actes d’exécution sont adoptés en conformité avec la procédure d’examen visée à l’article 62, paragraphe 2. La Commission coopère avec le réseau des CSIRT et l’ENISA pour préparer les projets d’actes d’exécution.</t>
  </si>
  <si>
    <t>Signalement volontaire
1.	Les fabricants mais aussi d’autres personnes physiques ou morales peuvent notifier toute vulnérabilité contenue dans un produit comportant des éléments numériques ainsi que les cybermenaces susceptibles d’affecter le profil de risque d’un produit comportant des éléments numériques, de manière volontaire, à un CSIRT désigné comme coordinateur ou à l’ENISA.
2.	Les fabricants ainsi que d’autres personnes physiques ou morales peuvent notifier tout incident ayant des répercussions sur la sécurité du produit comportant des éléments numériques ainsi que des incidents évités qui auraient pu entraîner un tel incident, de manière volontaire, à un CSIRT désigné comme coordinateur ou à l’ENISA.
3.	Le CSIRT désigné comme coordinateur ou l’ENISA traite les notifications visées au paragraphes 1 et 2 du présent article conformément à la procédure prévue à l’article 16.
Le CSIRT désigné comme coordinateur peut accorder la priorité au traitement des notifications obligatoires par rapport aux notifications volontaires.
4.	Lorsqu’une personne physique ou morale autre que le fabricant notifie une vulnérabilité activement exploitée ou un incident grave ayant des répercussions sur la sécurité d’un produit comportant des éléments numériques conformément au paragraphe 1 ou 2, le CSIRT désigné comme coordinateur en informe le fabricant sans retard injustifié.
5.	Les CSIRT désignés comme coordinateurs ainsi que l’ENISA garantissent la confidentialité et une protection appropriée des informations fournies par la personne physique ou morale à l’origine de la notification. Sans préjudice de la prévention et de la détection d’infractions pénales et des enquêtes et poursuites en la matière, un signalement volontaire n’a pas pour effet d’imposer à la personne physique ou morale à l’origine de la notification des obligations supplémentaires auxquelles elle n’aurait pas été soumise si elle n’avait pas fait la notification.</t>
  </si>
  <si>
    <t>1.	Un fabricant peut, par mandat écrit, désigner un mandataire</t>
  </si>
  <si>
    <t>1.	Un importateur ne met sur le marché que des produits comportant des éléments numériques conformes aux exigences essentielles de cybersécurité énoncées à l’annexe I, partie I, et lorsque les processus mis en place par le fabricant sont conformes aux exigences essentielles de cybersécurité énoncées à l’annexe I, partie II.
2.	Avant de mettre sur le marché un produit comportant des éléments numériques, l’importateur veille à ce que:
a) les procédures appropriées d’évaluation de la conformité visées à l’article 32 aient été menées à bien par le fabricant; b) le fabricant ait établi la documentation technique;
c)	le produit comportant des éléments numériques porte le marquage CE visé à l’article 30 et soit accompagné de la déclaration UE de conformité visée à l’article 13, paragraphe 20, ainsi que des informations et instructions destinées à l’utilisateur figurant à l’annexe II, rédigées dans une langue aisément compréhensible par les utilisateurs et les autorités de surveillance du marché;
d)	le fabricant ait respecté les exigences prévues à l’article 13, paragraphes 15, 16 et 19.
Aux fins du présent paragraphe, les importateurs doivent être en mesure de fournir les documents nécessaires prouvant le respect des exigences énoncées dans le présent article.
3.	Lorsqu’un importateur considère ou a des raisons de croire qu’un produit comportant des éléments numériques ou les processus mis en place par le fabricant ne sont pas conformes au présent règlement, il ne met pas le produit sur le marché tant que ce produit ou les processus mis en place par le fabricant n’ont pas été mis en conformité avec le présent règlement. En outre, lorsque le produit comportant des éléments numériques présente un risque de cybersécurité important, l’importateur en informe le fabricant et les autorités de surveillance du marché.
Lorsqu’un importateur a des raisons de croire qu’un produit comportant des éléments numériques peut présenter un risque de cybersécurité important à la lumière de facteurs de risque non techniques, il en informe les autorités de surveillance du marché. Dès réception de cette information, les autorités de surveillance du marché appliquent les procédures visées à l’article 54, paragraphe 2.
4.	L’importateur indique son nom, sa raison sociale ou sa marque déposée et les adresses postale, électronique ou autre moyen numérique, ainsi que, le cas échéant, l’adresse du site internet auxquelles il peut être contacté sur le produit comportant des éléments numériques, sur l’emballage ou dans un document accompagnant le produit comportant des éléments numériques. Les coordonnées sont indiquées dans une langue aisément compréhensible par les utilisateurs et les autorités de surveillance du marché.
5.	Tout importateur qui considère ou a des raisons de croire qu’un produit comportant des éléments numériques, qu’il a mis sur le marché n’est pas conforme au présent règlement prend immédiatement les mesures correctives nécessaires pour veiller à ce que ce produit comportant des éléments numériques soit mis en conformité avec le présent règlement, ou pour procéder au retrait ou au rappel du produit, si nécessaire.
Lorsqu’il prend connaissance d’une vulnérabilité du produit comportant des éléments numériques, l’importateur en informe le fabricant sans retard injustifié. En outre, si le produit comportant des éléments numériques présente un risque de cybersécurité important, l’importateur en informe immédiatement les autorités de surveillance du marché des États membres dans lesquels il a mis ce produit à disposition sur le marché, en fournissant des précisions, notamment, sur la non-conformité et toute mesure corrective adoptée.
6.	Pendant au moins dix ans à partir de la mise sur le marché du produit comportant des éléments numériques ou pendant la période d’assistance, la période la plus longue étant retenue, l’importateur tient à la disposition des autorités de surveillance du marché une copie de la déclaration UE de conformité et s’assure que la documentation technique peut être fournie à ces autorités, sur demande.
7.	Sur requête motivée d’une autorité de surveillance du marché, l’importateur communique à cette dernière toutes les informations et tous les documents nécessaires, sur support papier ou par voie électronique, pour démontrer la conformité du produit comportant des éléments numériques aux exigences essentielles de cybersécurité énoncées à l’annexe I, partie I, ainsi que la conformité des processus mis en place par le fabricant aux exigences essentielles de cybersécurité énoncées à l’annexe I, partie II, dans une langue aisément compréhensible par cette autorité. Il coopère avec cette autorité, à la demande de cette dernière, concernant toute mesure prise en vue d’éliminer les risques de cybersécurité présentés par le produit comportant des éléments numériques qu’il a mis sur le marché.
8.	Lorsque l’importateur d’un produit comportant des éléments numériques a connaissance du fait que le fabricant de ce produit a cessé ses activités et, de ce fait, n’est pas en mesure de se conformer aux obligations prévues par le présent règlement, l’importateur informe les autorités de surveillance du marché concernées de cette situation, ainsi que, par tout moyen disponible et dans la mesure du possible, les utilisateurs des produits concernés comportant des éléments numériques mis sur le marché.</t>
  </si>
  <si>
    <t>Obligations des distributeurs
1.	Lorsqu’ils mettent un produit comportant des éléments numériques à disposition sur le marché, les distributeurs agissent avec la diligence requise en ce qui concerne les exigences énoncées au présent règlement.
2.	Avant de mettre un produit comportant des éléments numériques à disposition sur le marché, les distributeurs vérifient que:
a)	le produit comportant des éléments numériques porte le marquage CE;
b)	le fabricant et l’importateur se sont conformés aux obligations énoncées à l’article 13, paragraphes 15, 16, 18, 19 et 20, et à l’article 19, paragraphe 4, et ont communiqué tous les documents nécessaires au distributeur.
3.	Lorsqu’un distributeur considère ou a des raisons de croire, sur la base des informations en sa possession, qu’un produit comportant des éléments numériques ou les processus mis en place par le fabricant ne sont pas conformes aux exigences essentielles de cybersécurité énoncées à l’annexe I, il ne met pas le produit comportant des éléments numériques à disposition sur le marché tant que ce produit ou les processus mis en place par le fabricant n’a pas été mis en conformité avec le présent règlement. En outre, lorsque le produit comportant des éléments numériques présente un risque de cybersécurité important, le distributeur en informe le fabricant et les autorités de surveillance du marché sans retard injustifié.
4.	Les distributeurs sachant ou ayant des raisons de croire, sur la base des informations en sa possession, qu’un produit comportant des éléments numériques, qu’ils ont mis à disposition sur le marché, ou bien les processus mis en place par son fabricant ne sont pas conformes au présent règlement veillent à ce que soient prises les mesures correctives nécessaires pour mettre ce produit comportant des éléments numériques ou les processus mis en place par son fabricant en conformité, ou pour retirer ou rappeler le produit, si nécessaire.
Lorsqu’ils prennent connaissance d’une vulnérabilité du produit comportant des éléments numériques, les distributeurs en informent le fabricant sans retard injustifié. En outre, si le produit comportant des éléments numériques présente un risque de cybersécurité important, les distributeurs en informent immédiatement les autorités de surveillance du marché des États membres dans lesquels ils ont mis ce produit à disposition sur le marché, en fournissant des précisions, notamment, sur la non-conformité et toute mesure corrective adoptée.
5.	Sur requête motivée d’une autorité de surveillance du marché, les distributeurs communiquent à cette dernière toutes les informations et tous les documents, sur support papier ou par voie électronique, nécessaires pour démontrer la conformité du produit comportant des éléments numériques et des processus mis en place par son fabricant avec le présent règlement dans une langue aisément compréhensible par cette autorité. Ils coopèrent avec cette autorité, à sa demande, à toute mesure prise en vue d’éliminer les risques de cybersécurité présentés par le produit comportant des éléments numériques qu’ils ont mis à disposition sur le marché.
6.	Lorsque le distributeur d’un produit comportant des éléments numériques apprend, sur la base des informations en sa possession, que le fabricant de ce produit a cessé ses activités et, de ce fait, n’est pas en mesure de se conformer aux obligations prévues par le présent règlement, il informe sans retard injustifié les autorités de surveillance du marché concernées de cette situation, ainsi que, par tout moyen disponible et dans la mesure du possible, les utilisateurs des produits concernés comportant des éléments numériques mis sur le marché.</t>
  </si>
  <si>
    <t>Un importateur ou un distributeur est considéré comme un fabricant aux fins du présent règlement et est soumis au respect de l’article 13 et de l’article 14 lorsque cet importateur ou ce distributeur met un produit comportant des éléments numériques sur le marché sous son propre nom ou sa propre marque, ou lorsqu’il apporte une modification substantielle à un produit comportant des éléments numériques déjà mis sur le marché.</t>
  </si>
  <si>
    <t>Présomption de conformité
1.	Les produits comportant des éléments numériques et les processus mis en place par le fabricant qui sont conformes à des normes harmonisées ou à des parties de normes harmonisées dont les références ont été publiées au Journal officiel de l’Union européenne sont présumés conformes aux exigences essentielles de cybersécurité énoncées à l’annexe I qui sont couvertes par ces normes ou parties de ces normes.
Conformément à l’article 10, paragraphe 1, du règlement (UE) no 1025/2012, la Commission demande à une ou plusieurs organisations européennes de normalisation d’élaborer des normes harmonisées relatives aux exigences essentielles de cybersécurité énoncées à l’annexe I du présent règlement. Lorsqu’elle prépare des demandes de normalisation aux fins du présent règlement, la Commission s’efforce de tenir compte des normes européennes et internationales existantes en matière de cybersécurité qui sont en place ou en cours d’élaboration afin de simplifier l’élaboration de normes harmonisées, conformément au règlement (UE) no 1025/2012.
2.	La Commission peut adopter des actes d’exécution qui établissent des spécifications communes couvrant les exigences techniques qui offrent un moyen de se conformer aux exigences essentielles de cybersécurité énoncées à l’annexe I en ce qui concerne les produits comportant des éléments numériques qui relèvent du champ d’application du présent règlement.
Ces actes d’exécution ne sont adoptés que lorsque les conditions suivantes sont remplies:
a)	la Commission, conformément à l’article 10, paragraphe 1, du règlement (UE) no 1025/2012, a demandé à une ou plusieurs organisations européennes de normalisation d’élaborer une norme harmonisée relative aux exigences essentielles de cybersécurité énoncées à l’annexe I et:
i)	la demande n’a pas été acceptée;
ii)	les normes harmonisées répondant à cette demande ne sont pas présentées dans le délai fixé conformément à l’article 10, paragraphe 1, du règlement (UE) no 1025/2012; ou iii) les normes harmonisées ne sont pas conformes à la demande; et
b)	aucune référence à des normes harmonisées couvrant les exigences essentielles pertinentes de cybersécurité énoncées à l’annexe I du présent règlement n’a été publiée au Journal officiel de l’Union européenne conformément au règlement (UE) no 1025/2012 et il n’est pas prévu que la publication d’une telle référence soit publiée dans un délai raisonnable.
Ces actes d’exécution sont adoptés en conformité avec la procédure d’examen visée à l’article 62, paragraphe 2.
3.	Avant d’élaborer le projet d’acte d’exécution visé au paragraphe 2 du présent article, la Commission informe le comité visé à l’article 22 du règlement (UE) no 1025/2012 qu’elle considère que les conditions énoncées au paragraphe 2 du présent article sont remplies.
4.	Lorsqu’elle élabore le projet d’acte d’exécution visé au paragraphe 2, la Commission tient compte de l’avis des organismes compétents et consulte dûment toutes les parties prenantes concernées.
5.	Les produits comportant des éléments numériques et les processus mis en place par le fabricant qui sont conformes aux spécifications communes établies par des actes d’exécution visés au paragraphe 2 du présent article, ou à des parties de ces spécifications communes, sont présumés conformes aux exigences essentielles de cybersécurité énoncées à l’annexe I couvertes par ces spécifications communes ou parties de spécifications communes.
6.	Lorsqu’une norme harmonisée est adoptée par une organisation européenne de normalisation et proposée à la Commission aux fins de la publication de sa référence au Journal officiel de l’Union européenne, la Commission évalue la norme harmonisée conformément au règlement (UE) no 1025/2012. Lorsque la référence d’une norme harmonisée est publiée au Journal officiel de l’Union européenne, la Commission abroge les actes d’exécution visés au paragraphe 2 du présent article, ou les parties de ces actes qui couvrent les mêmes exigences essentielles de cybersécurité que celles couvertes par cette norme harmonisée.
7.	Lorsqu’un État membre estime qu’une spécification commune ne satisfait pas entièrement aux exigences essentielles de cybersécurité énoncées à l’annexe I, il en informe la Commission en lui fournissant une explication détaillée. La Commission examine cette explication détaillée et peut, s’il y a lieu, modifier l’acte d’exécution établissant la spécification commune en question.
8.	Les produits comportant des éléments numériques et les processus mis en place par le fabricant pour lesquels une déclaration de conformité de l’Union ou un certificat de cybersécurité européen ont été délivrés dans le cadre d’un schéma européen de certification de cybersécurité adopté conformément au règlement (UE) 2019/881 sont présumés conformes aux exigences essentielles de cybersécurité énoncées à l’annexe I, dans la mesure où celles-ci sont couvertes par la déclaration de conformité de l’Union ou le certificat de cybersécurité européen, ou des parties de ceux-ci.
9.	La Commission est habilitée à adopter des actes délégués conformément à l’article 61 du présent règlement pour compléter le présent règlement en précisant les schémas européens de certification de cybersécurité adoptés en vertu du règlement (UE) 2019/881 qui peuvent être utilisés afin de démontrer la conformité de produits comportant des éléments numériques avec les exigences essentielles de cybersécurité énoncées à l’annexe I du présent règlement, ou avec des parties de ces exigences. En outre, la délivrance d’un certificat de cybersécurité européen au titre de tels schémas, au minimum au niveau d’assurance dit «substantiel», supprime l’obligation d’un fabricant de procéder à une évaluation de la conformité par un tiers pour les exigences correspondantes, comme indiqué à l’article 32, paragraphe 2, points a) et b), et à l’article 32, paragraphe 3, points a) et b), du présent règlement</t>
  </si>
  <si>
    <t>Déclaration UE de conformité
1.	La déclaration UE de conformité est établie par le fabricant conformément à l’article 13, paragraphe 12, et atteste que le respect des exigences essentielles de cybersécurité applicables énoncées à l’annexe I a été démontré.
2.	La déclaration UE de conformité est établie selon le modèle figurant à l’annexe V et contient les éléments précisés dans les procédures d’évaluation de la conformité applicables prévues à l’annexe VIII. Cette déclaration est mise à jour en tant que de besoin. Elle est disponible dans les langues requises par l’État membre dans lequel le produit comportant des éléments numériques est mis sur le marché ou mis à disposition sur le marché.
La déclaration UE de conformité simplifiée visée à l’article 13, paragraphe 20, est établie selon le modèle figurant à l’annexe VI. Elle est disponible dans les langues requises par l’État membre dans lequel le produit comportant des éléments numériques est mis sur le marché ou mis à disposition sur le marché.
3.	Lorsqu’un produit comportant des éléments numériques relève de plusieurs actes juridiques de l’Union imposant une déclaration UE de conformité, une seule déclaration UE de conformité est établie pour l’ensemble de ces actes juridiques. Cette déclaration mentionne les titres des actes juridiques de l’Union concernés, ainsi que les références de leur publication.
4.	En établissant la déclaration UE de conformité, le fabricant assume la responsabilité de la conformité du produit comportant des éléments numériques.
5.	La Commission est habilitée à adopter des actes délégués conformément à l’article 61 pour compléter le présent règlement aux fins d’ajouter des éléments au contenu minimal de la déclaration UE de conformité prévu à l’annexe V afin de tenir compte des progrès techniques</t>
  </si>
  <si>
    <t>Règles et conditions d’apposition du marquage CE
1.	Le marquage CE est apposé de manière visible, lisible et indélébile sur le produit comportant des éléments numériques. Lorsque la nature du produit comportant des éléments numériques ne le permet pas ou ne le justifie pas, il est apposé sur son emballage et sur la déclaration UE de conformité mentionnée à l’article 28 qui accompagne le produit comportant des éléments numériques. Pour les produits comportant des éléments numériques qui se présentent sous la forme d’un logiciel, le marquage CE est apposé soit sur la déclaration UE de conformité mentionnée à l’article 28, soit sur le site internet qui accompagne le logiciel. Dans ce dernier cas, la section correspondante du site internet est aisément et directement accessible aux consommateurs.
2.	En raison de la nature du produit comportant des éléments numériques, la hauteur du marquage CE apposé sur le produit comportant des éléments numériques peut être inférieure à 5 mm, à condition qu’il reste visible et lisible.
3.	Le marquage CE est apposé avant que le produit comportant des éléments numériques ne soit mis sur le marché. Il peut être suivi d’un pictogramme ou de tout autre marquage indiquant un risque en matière de cybersécurité ou un usage particulier énoncés dans les actes d’exécution visés au paragraphe 6.
4.	Le marquage CE est suivi du numéro d’identification de l’organisme notifié, lorsque cet organisme participe à la procédure d’évaluation de la conformité sur la base de l’assurance complète de la qualité (module H) visée à l’article 32.
Le numéro d’identification de l’organisme notifié est apposé par l’organisme lui-même ou, sur instruction de celui-ci, par le fabricant ou le mandataire du fabricant.
5.	Les États membres s’appuient sur les mécanismes existants pour assurer la bonne application du régime régissant le marquage CE et prennent les mesures nécessaires en cas d’usage abusif de ce marquage. Lorsque le produit comportant des éléments numériques relève d’une législation d’harmonisation de l’Union, autre que le présent règlement, qui prévoit aussi l’apposition du marquage CE, le marquage CE indique que le produit satisfait également aux exigences énoncées dans cette autre législation d’harmonisation de l’Union.
6.	La Commission peut, par voie d’actes d’exécution, définir des spécifications techniques pour les étiquettes, les pictogrammes ou tout autre marquage en lien avec la sécurité des produits comportant des éléments numériques, leurs périodes d’assistance ainsi que des mécanismes visant à promouvoir leur utilisation et à sensibiliser le public à la sécurité des produits comportant des éléments numériques. Lors de l’élaboration des projets d’actes d’exécution, la Commission consulte les parties prenantes concernées et, s’il a déjà été établi en vertu de l’article 52, paragraphe 15, l’ADCO. Ces actes d’exécution sont adoptés en conformité avec la procédure d’examen visée à l’article 62, paragraphe 2.</t>
  </si>
  <si>
    <t>Documentation technique
1.	La documentation technique réunit l’ensemble des informations ou des précisions utiles concernant les moyens employés par le fabricant pour garantir la conformité du produit comportant des éléments numériques et des processus mis en place par le fabricant aux exigences essentielles de cybersécurité énoncées à l’annexe I. Elle contient, au minimum, les éléments énumérés à l’annexe VII.
2.	La documentation technique est établie avant que le produit comportant des éléments numériques ne soit mis sur le marché et fait l’objet de mises à jour régulières, le cas échéant, au moins pendant la période d’assistance.
3.	Pour les produits comportant des éléments numériques visés à l’article 12, qui relèvent aussi d’autres actes juridiques de l’Union prévoyant une documentation technique, une seule documentation technique est établie, contenant les informations visées à l’annexe VII ainsi que les informations requises en vertu de ces actes juridiques de l’Union.
4.	La documentation technique et la correspondance se rapportant à toute procédure d’évaluation de la conformité sont rédigées dans une langue officielle de l’État membre dans lequel est établi l’organisme notifié ou dans une langue acceptée par celui-ci.
5.	La Commission est habilitée à adopter des actes délégués conformément à l’article 61 pour compléter le présent règlement en ajoutant des éléments à inclure dans la documentation technique figurant à l’annexe VII pour tenir compte des progrès techniques ainsi que des évolutions rencontrées dans le processus de mise en œuvre du présent règlement. À cette fin, la Commission s’efforce de faire en sorte que la charge administrative pesant sur les microentreprises et les petites et moyennes entreprises soit proportionnée.</t>
  </si>
  <si>
    <t>Le fabricant effectue une évaluation de la conformité du produit comportant des éléments numériques et des processus mis en place par le fabricant pour déterminer si les exigences essentielles de cybersécurité énoncées à l’annexe I sont respectées. Le fabricant démontre la conformité avec les exigences essentielles de cybersécurité en suivant l’une des procédures suivantes:
a)	la procédure de contrôle interne (module A) visée à l’annexe VIII;
b)	la procédure d’examen UE de type (module B) prévue à l’annexe VIII, suivie de la conformité au type «UE» sur la base du contrôle interne de la production (module C), prévue à l’annexe VIII;
c)	l’évaluation de la conformité sur la base de l’assurance complète de la qualité (module H) prévue à l’annexe VIII; ou
d)	lorsqu’il est disponible et s’il y a lieu, un schéma européen de certification de cybersécurité en vertu de l’article 27, paragraphe 9.
2. Lorsque, lors de l’évaluation de la conformité d’un produit important comportant des éléments numériques qui relève de la classe I figurant à l’annexe III et des processus mis en place par son fabricant avec les exigences essentielles de cybersécurité énoncées à l’annexe I, le fabricant n’a pas appliqué ou n’a appliqué qu’en partie des normes harmonisées, des spécifications communes ou des schémas européens de certification de cybersécurité au minimum au niveau d’assurance dit «substantiel» visés à l’article 27, ou lorsque ces normes harmonisées, spécifications communes ou schémas européens de certification de cybersécurité n’existent pas, le produit comportant des éléments numériques concerné et les processus mis en place par le fabricant sont soumis, pour ce qui a trait à ces exigences essentielles de cybersécurité, à l’une des procédures suivantes:
a)	la procédure d’examen UE de type (module B) prévue à l’annexe VIII, suivie de la conformité au type «UE» sur la base du contrôle interne de la production (module C), prévue à l’annexe VIII; ou
b)	une évaluation de la conformité sur la base de l’assurance complète de la qualité (module H) prévue à l’annexe VIII.
3. Lorsque le produit est un produit important comportant des éléments numériques qui relève de la classe II figurant à l’annexe III, le fabricant démontre la conformité avec les exigences essentielles de cybersécurité énoncées à l’annexe I en suivant l’une des procédures suivantes:
a)	la procédure d’examen UE de type (module B) prévue à l’annexe VIII, suivie de la conformité au type «UE» sur la base du contrôle interne de la production (module C), prévue à l’annexe VIII;
b)	une évaluation de la conformité sur la base de l’assurance complète de la qualité (module H) prévue à l’annexe VIII; ou
c)	lorsqu’il est disponible et s’il y a lieu, un schéma européen de certification de cybersécurité conformément à l’article 27, paragraphe 9, du présent règlement au minimum au niveau d’assurance dit «substantiel» en vertu du règlement (UE) 2019/881.
4. Les produits critiques comportant des éléments numériques répertoriés à l’annexe IV démontrent la conformité avec les exigences essentielles de cybersécurité énoncées à l’annexe I au moyen de l’une des procédures suivantes:
a)	un schéma européen de certification de cybersécurité, conformément à l’article 8, paragraphe 1; ou
b)	lorsque les conditions énoncées à l’article 8, paragraphe 1, ne sont pas remplies, l’une des procédures visées au paragraphe 3 du présent article.
5.	Les fabricants de produits comportant des éléments numériques qui répondent aux critères de logiciels libres et ouverts et relèvent des catégories énoncées à l’annexe III ont la faculté de démontrer la conformité avec les exigences essentielles de cybersécurité énoncées à l’annexe I en utilisant l’une des procédures visées au paragraphe 1 du présent article, à condition que la documentation technique visée à l’article 31 soit mise à la disposition du public au moment de la mise sur le marché de ces produits.
6.	Les intérêts et besoins spécifiques des microentreprises et des petites et moyennes entreprises, y compris les jeunes pousses, sont pris en compte lors de la fixation des redevances imposées pour les procédures d’évaluation de la conformité, et ces redevances sont réduites proportionnellement auxdits intérêts et besoins spécifiques.</t>
  </si>
  <si>
    <t>Art 58</t>
  </si>
  <si>
    <t>1. Lorsque l’autorité de surveillance du marché d’un État membre fait l’une des constatations ci-après, elle invite le fabricant concerné à mettre un terme à la non-conformité en question:
a)	le marquage CE a été apposé en violation de l’article 29 ou 30;
b)	le marquage CE n’a pas été apposé;
c)	la déclaration UE de conformité n’a pas été établie;
d)	la déclaration UE de conformité n’a pas été établie correctement;
e)	le numéro d’identification de l’organisme notifié, qui participe à la procédure d’évaluation de la conformité, le cas échéant, n’a pas été apposé;
f)	la documentation technique n’est pas disponible ou n’est pas complète.
2. Si la non-conformité visée au paragraphe 1 persiste, l’État membre concerné prend toutes les mesures appropriées pour restreindre ou interdire la mise à disposition du produit comportant des éléments numériques sur le marché ou pour faire en sorte que le produit soit rappelé ou retiré du marché.</t>
  </si>
  <si>
    <t>Systèmes d’IA à haut risque
1. Sans préjudice des exigences en matière d’exactitude et de robustesse énoncées à l’article 15 du règlement (UE) 2024/1689, les produits comportant des éléments numériques qui relèvent du champ d’application du présent règlement et sont classés comme des systèmes d’IA à haut risque conformément à l’article 6 dudit règlement sont réputés conformes aux exigences de cybersécurité énoncées à l’article 15 dudit règlement:
a)	lorsque ces produits satisfont aux exigences essentielles de cybersécurité énoncées à l’annexe I, partie I;
b)	lorsque les processus mis en place par le fabricant sont conformes aux exigences essentielles de cybersécurité énoncées à l’annexe I, partie II; et
c)	lorsque le niveau de cyberprotection requis à l’article 15 du règlement (UE) 2024/1689 est démontré par la déclaration UE de conformité délivrée en vertu du présent règlement.
2.	Pour les produits comportant des éléments numériques et les exigences de cybersécurité visés au paragraphe 1 du présent article, la procédure d’évaluation de la conformité pertinente prévue à l’article 43 du règlement (UE) 2024/1689 s’applique. Aux fins de cette évaluation, les organismes notifiés qui sont compétents pour contrôler la conformité des systèmes d’IA à haut risque au titre du règlement (UE) 2024/1689 sont également compétents pour contrôler la conformité des systèmes d’IA à haut risque qui relèvent du champ d’application du présent règlement aux exigences énoncées à l’annexe I du présent règlement, à condition que la conformité de ces organismes notifiés aux exigences prévues par l’article 39 du présent règlement ait été évaluée dans le cadre de la procédure de notification prévue par le règlement (UE) 2024/1689.
3.	Par dérogation au paragraphe 2 du présent article, les produits importants comportant des éléments numériques énumérés à l’annexe III du présent règlement, qui font l’objet des procédures d’évaluation de la conformité prévues par l’article 32, paragraphe 2, points a) et b), et l’article 32, paragraphe 3, du présent règlement ainsi que les produits critiques comportant des éléments numériques énumérés à l’annexe IV du présent règlement qui doivent obtenir un certificat de cybersécurité européen au titre de l’article 8, paragraphe 1, du présent règlement ou, à défaut, qui font l’objet des procédures d’évaluation de la conformité prévues par l’article 32, paragraphe 3, du présent règlement, et qui sont également classés comme systèmes d’IA à haut risque au titre de l’article 6 du règlement (UE) 2024/1689, et auxquels s’applique la procédure d’évaluation de la conformité fondée sur le contrôle interne prévue à l’annexe VI du règlement (UE) 2024/1689, sont soumis aux procédures d’évaluation de la conformité prévues par le présent règlement en ce qui concerne les exigences essentielles de cybersécurité énoncées dans le présent règlement.
4.	Les fabricants de produits comportant des éléments numériques tels que visés au paragraphe 1 du présent article peuvent participer aux sas réglementaires en matière d’IA visés à l’article 57 du règlement (UE) 2024/1689.</t>
  </si>
  <si>
    <t>Lorsqu’un produit numérique intègre une IA classée à haut risque (selon l’AI Act), le respect des exigences de cybersécurité prévues par le CRA vaut présomption de conformité.
Ces produits doivent également suivre les procédures d’évaluation de conformité spécifiques de l’AI Act (notamment l’article 43).
Cela inclut :
une évaluation des risques de cybersécurité,
des mesures de gestion des vulnérabilités,
le respect des exigences essentielles de sécurité (voir Annexe I du CRA)</t>
  </si>
  <si>
    <t>impose aux fabricants de concevoir, développer et maintenir leurs produits numériques selon des exigences strictes de cybersécurité. Ils doivent réaliser une évaluation des risques à toutes les étapes du cycle de vie du produit, assurer la gestion des vulnérabilités pendant une période d’assistance d’au moins cinq ans, documenter techniquement les mesures prises, fournir des mises à jour de sécurité accessibles pendant dix ans, et garantir une traçabilité et une communication claire avec les utilisateurs. Le fabricant doit aussi mettre en place un point de contact pour signaler les failles, assurer la conformité continue des produits, et coopérer avec les autorités en cas de non-conformité ou de cessation d’activité.</t>
  </si>
  <si>
    <t>Lorsqu’un fabricant découvre une vulnérabilité activement exploitée ou un incident grave affectant la cybersécurité d’un produit numérique, il doit le notifier sans délai (au plus tard dans les 24h pour une alerte précoce, 72h pour une notification complète, et 14 jours pour un rapport final) au CSIRT désigné et à l’ENISA via une plateforme européenne dédiée. Ces notifications doivent inclure les détails techniques, les mesures prises et l’impact estimé. Le fabricant doit également informer rapidement les utilisateurs concernés pour leur permettre d’atténuer les risques. En l’absence de communication du fabricant, le CSIRT peut informer les utilisateurs directement. Des actes délégués et d’exécution viendront encadrer plus précisément les délais, formats et procédures de ces notifications.</t>
  </si>
  <si>
    <t>Avant de mettre un produit numérique sur le marché, l’importateur doit s'assurer que celui-ci est conforme aux exigences essentielles de cybersécurité, que le fabricant a mené les procédures de conformité, rédigé la documentation technique, apposé le marquage CE, fourni la déclaration UE de conformité et respecté les obligations légales. En cas de doute sur la conformité ou si le produit présente un risque de cybersécurité, il doit suspendre sa mise sur le marché, informer les autorités et le fabricant, et prendre les mesures correctives nécessaires. L’importateur doit aussi mentionner clairement ses coordonnées sur le produit ou son emballage, conserver les documents de conformité pendant au moins 10 ans et coopérer pleinement avec les autorités en cas de demande. Enfin, s’il apprend que le fabricant a cessé ses activités, il doit alerter les autorités et, dans la mesure du possible, informer les utilisateurs.</t>
  </si>
  <si>
    <t>Vérifications avant mise sur le marché : S'assurer que le produit porte le marquage CE et que le fabricant a respecté ses obligations.
Non-conformité ou risque cybersécurité : Ne pas vendre le produit, informer le fabricant et les autorités si nécessaire.
Produits déjà commercialisés : Corriger, retirer ou rappeler en cas de non-conformité, et signaler les vulnérabilités.
Coopération avec les autorités : Fournir les documents demandés et participer aux actions correctives.
Fabricant défaillant : Prévenir les autorités et les utilisateurs si le fabricant ne peut plus assurer la conformité.</t>
  </si>
  <si>
    <t>Conformité par défaut :
Les produits conformes aux normes harmonisées publiées au JOUE sont présumés respecter les exigences de cybersécurité.
La Commission mandate des organismes de normalisation pour élaborer ces normes, en s’appuyant sur les standards existants.
Spécifications communes (si normes manquantes) :
La Commission peut établir des règles techniques alternatives si :
Aucune norme harmonisée n’est disponible dans un délai raisonnable, ou
Les normes proposées ne répondent pas aux exigences.
Consultation obligatoire des parties prenantes avant adoption.
Abrogation automatique :
Si une norme harmonisée est publiée ultérieurement, les spécifications communes correspondantes sont annulées.
Certifications européennes :
Les produits certifiés sous un schéma européen de cybersécurité (ex. règlement UE 2019/881) sont présumés conformes.
Un certificat de niveau "substantiel" dispense d’une évaluation par un tiers.
Contestation par un État membre :
Si un pays estime qu’une spécification commune est insuffisante, la Commission examine et modifie si nécessaire</t>
  </si>
  <si>
    <t>Le fabricant doit évaluer si son produit respecte les exigences de cybersécurité (Annexe I) via :
Module A (auto-contrôle)
Module B + C (examen UE + contrôle production)
Module H (assurance qualité complète)
Certification européenne (si applicable, Art. 27.9).
Produits importants (Classe I) :
Si normes/schémas non appliqués ou inexistants → Module B+C ou Module H obligatoires.
Produits importants (Classe II) :
Module B+C, Module H, ou certification européenne (niveau "substantiel").
Produits critiques (Annexe IV) :
Certification européenne prioritaire, sinon procédures Classe II.
Logiciels libres/open-source :
Peuvent utiliser les procédures standard, mais documentation publique obligatoire.
PME/microentreprises :
Tarifs réduits pour les évaluations de conformité.</t>
  </si>
  <si>
    <t>Sanctions (2 ans de prison + 10 000 DT) pour violation de multiples articles relatifs à la collecte, au traitement ou à la protection des données personnelles.</t>
  </si>
  <si>
    <t>1 an de prison + 10 000 DT pour obtention du consentement par fraude, violence ou menace.</t>
  </si>
  <si>
    <t>1 an de prison + 5 000 DT pour utilisation des données à des fins personnelles ou nuisibles sans autorisation.</t>
  </si>
  <si>
    <t>1 an de prison + 5 000 DT pour traitement illégal de données : sans autorisation, après interdiction, transfert illégal à l'étranger, diffusion sans consentement.</t>
  </si>
  <si>
    <t>1 an de prison + 5 000 DT pour traitement maintenu malgré l’opposition de la personne concernée.</t>
  </si>
  <si>
    <t>8 mois de prison + 3 000 DT pour entrave volontaire au droit d’accès aux données.</t>
  </si>
  <si>
    <t>3 mois à 1 mois de prison + 1 000 à 3 000 DT selon l’intention en cas de diffusion nuisible ou non de données personnelles ; publication du jugement possible.</t>
  </si>
  <si>
    <t>3 mois de prison + 1 000 DT pour violation de plusieurs articles ou collecte/traitement de données à des fins illégales ou inexactes.</t>
  </si>
  <si>
    <t>10 000 DT d’amende si la personne ayant reçu les données ne respecte pas les garanties imposées par l’Instance.</t>
  </si>
  <si>
    <t>5 000 DT d’amende pour obstruction au travail de l’INPDP ou communication mensongère.</t>
  </si>
  <si>
    <t>Application de l’article 254 du Code pénal à tout responsable qui divulgue des données sans base légale.</t>
  </si>
  <si>
    <t>1 000 DT d’amende pour non-respect de l’article 24 (en général : obligation de confidentialité en cas de cessation d’activité).</t>
  </si>
  <si>
    <t>1 000 DT d’amende pour non-respect de l’article 39 (lié à la sécurité et confidentialité).</t>
  </si>
  <si>
    <t>En cas d’infraction par une personne morale, les sanctions sont applicables au dirigeant responsable.</t>
  </si>
  <si>
    <t>Sanctions pénales (2-5 ans de prison + amende 5000 DT) pour violation de l’article 50 relatif à la protection des données ; la tentative est aussi punie.</t>
  </si>
  <si>
    <t>Les systèmes informatiques des organismes publics sont soumis à un audit obligatoire et périodique de sécurité, sauf ceux relevant de la défense et de l’intérieur. La périodicité, le contenu de l’audit et le suivi des recommandations sont définis par décret.</t>
  </si>
  <si>
    <t xml:space="preserve">Les fournisseurs de télécommunications doivent conserver certaines données (identité, trafic, terminaux, géolocalisation, contenus accédés) pour au moins 2 ans. La durée exacte est fixée par arrêté ministériel conjoint.
</t>
  </si>
  <si>
    <t>3 ans + amende de 20 000 DT pour  pour fabrication, usage ou détention de programmes ou données pour commettre des infractions informatiques. La tentative est punissable.</t>
  </si>
  <si>
    <t>3 mois d'emprisonnement + amende de 10 000 DT pour tout accès ou maintien illégal dans un système informatique, même partiel. La tentative est punissable.</t>
  </si>
  <si>
    <t>Pour les personnes morales : une amende cinq fois égale à la valeur de l’amende encourue pour les personnes physiques. + fermeture ou dissolution possible.</t>
  </si>
  <si>
    <t>3 ans d'emprisonnement + amende de 20 000 DT pour destruction ou altération volontaire de données informatiques. La tentative est punissable.</t>
  </si>
  <si>
    <t>3 ans d'emprisonnement + amende de 30 000 DT  pour entrave au fonctionnement d’un système informatique par moyens électroniques. La tentative est punissable.</t>
  </si>
  <si>
    <t>5 ans d'emprisonnement + amende de 30 000 DT pour détournement délibéré de données informatiques appartenant à autrui. La tentative est punissable.</t>
  </si>
  <si>
    <t>6 ans d'emprisonnement + amende de 100 000 DT pour atteinte intentionnelle au système informatique visant un gain financier ou économique.</t>
  </si>
  <si>
    <t>5 ans d'emprisonnement + amende de 100 000 DT  pour falsification de données informatiques à des fins de tromperie ou de préjudice.</t>
  </si>
  <si>
    <t>1 mois a 1 an d'emprisonnement + amende de 50 000 DT pour violation des droits d’auteur via des systèmes d’information à des fins lucratives ou nuisibles.</t>
  </si>
  <si>
    <t>6 ans d'emprisonnement + amende de 50 000 DT pour détention ou diffusion de contenu pédopornographique ou d’agressions via systèmes informatiques.</t>
  </si>
  <si>
    <t>1 an d'emprisonnement + amende de 10 000 DT pour non-respect de l’obligation de conservation des données par les fournisseurs de services.</t>
  </si>
  <si>
    <t>1 an d'emprisonnement + amende de 10 000 DT  pour obstruction à une enquête via refus de remise ou destruction de données informatiques.</t>
  </si>
  <si>
    <t>3 ans d'emprisonnement + amende de 20 000 DT pour violation de la confidentialité de la collecte ou utilisation de données de trafic.</t>
  </si>
  <si>
    <t>3 ans d'emprisonnement + amende de 10 000 DT pour collecte ou interception illégale de données ou communications. La tentative est punissable.</t>
  </si>
  <si>
    <t>Obligation d'informer l'ANCS de tout changement apporté au logiciel ou à l'appareil électronique portant le label « sécurisé ».</t>
  </si>
  <si>
    <t>Toute personne qui accède frauduleusement ou se maintient dans un système informatique risque 2 mois à 1 an de prison et une amende de 1000 dinars, ou l'une de ces deux peines.
Si cette intrusion cause, même sans intention, une altération ou destruction du système, la peine augmente à 2 ans de prison et 2000 dinars d'amende.
En cas d'altération ou destruction volontaire du fonctionnement du système, la peine est de 3 ans de prison et 3000 dinars d'amende.
Si quelqu’un introduit frauduleusement des données modifiant le programme ou son fonctionnement, la peine est de 5 ans de prison et 5000 dinars d'amende.
Si l’acte est commis dans le cadre professionnel, les peines sont doublées.
La tentative de ces infractions est aussi punissable.</t>
  </si>
  <si>
    <t>Quiconque modifie frauduleusement le contenu d’un document électronique ou informatique original au détriment d’autrui est puni de 2 ans de prison et d’une amende de 2000 dinars.
Celui qui détient ou utilise sciemment ces documents modifiés est puni des mêmes peines.
Si l’auteur est un fonctionnaire public ou assimilé, la peine est doublée.
La tentative est également punissable.</t>
  </si>
  <si>
    <t>Est puni d’1 mois à 1 an de prison et/ou d’une amende de 50 000 dinars, quiconque utilise intentionnellement des systèmes d’information pour violer les droits d’auteur ou voisins sans autorisation, dans le but de profiter ou de nuire à l’économie ou aux droits d’autrui.</t>
  </si>
  <si>
    <t>Le créateur ou ses ayants droit ont le droit exclusif d’exploiter ou vendre un dessin/modèle industriel. Il est interdit aux tiers sans consentement de fabriquer, vendre ou importer des copies à but commercial.</t>
  </si>
  <si>
    <t>Toute atteinte aux droits du dessin/modèle constitue un délit de contrefaçon, puni d’une amende de 5 000 à 50 000 dinars. Le tribunal peut ordonner l’affichage du jugement. Une fausse mention de dépôt est punie d’une amende de 1 000 à 5 000 dinars. L’action pénale dépend de la plainte de la partie lésée.</t>
  </si>
  <si>
    <t>La propriété d’un dessin/modèle appartient à son créateur ou ayants droit. Le premier déposant est présumé créateur jusqu’à preuve contraire.</t>
  </si>
  <si>
    <t>Le dépôt doit être fait auprès de l’organisme compétent, avec paiement de redevances. Le déposant peut être représenté par mandataire avec pouvoir écrit, obligatoire pour les étrangers.</t>
  </si>
  <si>
    <t>La protection dure de 5 à 15 ans. La demande de prolongation doit respecter un formulaire, être faite dans les 6 derniers mois avant expiration, avec preuve de paiement et mandat si applicable. La prolongation peut concerner certains dessins seulement.</t>
  </si>
  <si>
    <t>(Similaire à Art. 7) Toute atteinte consciente aux droits du dessin/modèle est un délit avec amende de 5 000 à 50 000 dinars. Le tribunal peut ordonner l’affichage du jugement. Mention fausse sur dépôt punie de 1 000 à 5 000 dinars. L’action pénale dépend de la plainte.</t>
  </si>
  <si>
    <t>Les entités concernées doivent transmettre aux autorités compétentes, au plus tard le 17 janvier 2025, leurs informations clés : nom, secteur, adresses, contacts, pays d’activité et plages IP.
Toute modification de ces informations doit être notifiée dans un délai de 3 mois.
À l’exception des plages IP, ces informations sont transmises rapidement à l’ENISA par le point de contact national.</t>
  </si>
  <si>
    <t>Les États membres, avec l’aide de la Commission, du Centre européen de compétences en cybersécurité et de l’ENISA, encouragent des actions pour :
a) développer les compétences en cybersécurité et garantir assez de professionnels qualifiés pour soutenir les autorités ;
b) renforcer la coopération entre secteur privé, opérateurs économiques, formation, consommateurs et administrations, notamment en formant ou reconvertissant des salariés, pour favoriser l’accès des jeunes aux emplois en cybersécurité.</t>
  </si>
  <si>
    <t>Les produits numériques ne peuvent être mis sur le marché que s’ils :
a) respectent les exigences de cybersécurité (annexe I, partie I) avec une installation, utilisation et mise à jour correctes ;
b) sont fabriqués selon des processus conformes aux exigences de cybersécurité (annexe I, partie II).</t>
  </si>
  <si>
    <t>Les fabricants ou toute autre personne peuvent volontairement notifier les vulnérabilités, cybermenaces ou incidents (même évités) liés à un produit numérique à un CSIRT coordinateur ou à l’ENISA. Le CSIRT peut prioriser les signalements obligatoires. Si un tiers signale une vulnérabilité grave, le fabricant est informé rapidement. La confidentialité est garantie, et aucun engagement légal supplémentaire n’est imposé au déclarant.</t>
  </si>
  <si>
    <t>Le fabricant peut désigner un mandataire par mandat écrit.</t>
  </si>
  <si>
    <t xml:space="preserve">Un importateur ou distributeur est considéré comme fabricant s’il :
met un produit numérique sur le marché sous son propre nom ou marque,
ou s’il modifie substantiellement un produit numérique existant.
Dans ce cas, il doit respecter les articles 13 et 14 du règlement.
</t>
  </si>
  <si>
    <t>Le fabricant établit une déclaration attestant que le produit respecte les exigences de cybersécurité (annexe I). Elle suit un modèle officiel (annexe V ou VI), est mise à jour, disponible dans les langues exigées et peut regrouper plusieurs actes juridiques. Elle engage la responsabilité du fabricant. La Commission peut l’adapter selon les évolutions techniques.</t>
  </si>
  <si>
    <t>Le marquage CE doit être visible, lisible et indélébile, apposé sur le produit, l’emballage ou la déclaration. Il peut être inférieur à 5 mm si lisible. Il est obligatoire avant mise sur le marché, parfois accompagné d’un pictogramme ou du numéro d’un organisme notifié. La Commission peut préciser les formes de marquage via actes d’exécution. Les États membres doivent prévenir tout usage abusif.</t>
  </si>
  <si>
    <t>Le fabricant établit une documentation technique avant la mise sur le marché. Elle décrit comment la conformité est assurée (annexe VII), est mise à jour régulièrement et peut être fusionnée avec celle exigée par d’autres lois européennes. Elle doit être rédigée dans une langue acceptée par l’organisme notifié. La Commission peut l’adapter en tenant compte des progrès techniques et réduire la charge des PME.</t>
  </si>
  <si>
    <r>
      <t xml:space="preserve">Le </t>
    </r>
    <r>
      <rPr>
        <b/>
        <sz val="11"/>
        <rFont val="Calibri"/>
        <family val="2"/>
        <scheme val="minor"/>
      </rPr>
      <t>nantissement du droit d'exploitation d’un logiciel</t>
    </r>
    <r>
      <rPr>
        <sz val="11"/>
        <rFont val="Calibri"/>
        <family val="2"/>
        <scheme val="minor"/>
      </rPr>
      <t xml:space="preserve"> est inscrit au </t>
    </r>
    <r>
      <rPr>
        <b/>
        <sz val="11"/>
        <rFont val="Calibri"/>
        <family val="2"/>
        <scheme val="minor"/>
      </rPr>
      <t>Registre national spécial des logiciels</t>
    </r>
    <r>
      <rPr>
        <sz val="11"/>
        <rFont val="Calibri"/>
        <family val="2"/>
        <scheme val="minor"/>
      </rPr>
      <t xml:space="preserve"> tenu par l’INPI. L’inscription inclut : identité des parties, éléments d’identification du logiciel (nom, code-source, etc.), acte de nantissement, actes modifiant droits ou propriété, décisions judiciaires et rectifications d’erreurs.</t>
    </r>
  </si>
  <si>
    <r>
      <t xml:space="preserve">La </t>
    </r>
    <r>
      <rPr>
        <b/>
        <sz val="11"/>
        <rFont val="Calibri"/>
        <family val="2"/>
        <scheme val="minor"/>
      </rPr>
      <t>demande d’inscription</t>
    </r>
    <r>
      <rPr>
        <sz val="11"/>
        <rFont val="Calibri"/>
        <family val="2"/>
        <scheme val="minor"/>
      </rPr>
      <t xml:space="preserve"> se fait via un </t>
    </r>
    <r>
      <rPr>
        <b/>
        <sz val="11"/>
        <rFont val="Calibri"/>
        <family val="2"/>
        <scheme val="minor"/>
      </rPr>
      <t>bordereau</t>
    </r>
    <r>
      <rPr>
        <sz val="11"/>
        <rFont val="Calibri"/>
        <family val="2"/>
        <scheme val="minor"/>
      </rPr>
      <t xml:space="preserve"> défini par l’INPI. Elle doit contenir les identités du créancier et débiteur, la désignation du logiciel, les détails du nantissement (date, nature, montant de la créance, intérêts), ainsi que des pièces justificatives : acte de nantissement (original + copie), preuve de paiement, éventuel mandat.</t>
    </r>
  </si>
  <si>
    <r>
      <t xml:space="preserve">Les actes </t>
    </r>
    <r>
      <rPr>
        <b/>
        <sz val="11"/>
        <rFont val="Calibri"/>
        <family val="2"/>
        <scheme val="minor"/>
      </rPr>
      <t>modifiant ou annulant les droits inscrits</t>
    </r>
    <r>
      <rPr>
        <sz val="11"/>
        <rFont val="Calibri"/>
        <family val="2"/>
        <scheme val="minor"/>
      </rPr>
      <t xml:space="preserve"> (cession, concession, renonciation, décisions de justice, etc.) sont </t>
    </r>
    <r>
      <rPr>
        <b/>
        <sz val="11"/>
        <rFont val="Calibri"/>
        <family val="2"/>
        <scheme val="minor"/>
      </rPr>
      <t>inscrits à la demande de l'une des parties</t>
    </r>
    <r>
      <rPr>
        <sz val="11"/>
        <rFont val="Calibri"/>
        <family val="2"/>
        <scheme val="minor"/>
      </rPr>
      <t>. La demande doit inclure un bordereau, l’original ou copie de l’acte ou décision, preuve de paiement et le mandat si nécessaire.</t>
    </r>
  </si>
  <si>
    <r>
      <t xml:space="preserve">Tout </t>
    </r>
    <r>
      <rPr>
        <b/>
        <sz val="11"/>
        <rFont val="Calibri"/>
        <family val="2"/>
        <scheme val="minor"/>
      </rPr>
      <t>changement d’identité ou de statut</t>
    </r>
    <r>
      <rPr>
        <sz val="11"/>
        <rFont val="Calibri"/>
        <family val="2"/>
        <scheme val="minor"/>
      </rPr>
      <t xml:space="preserve"> (nom, adresse, siège, forme juridique) est </t>
    </r>
    <r>
      <rPr>
        <b/>
        <sz val="11"/>
        <rFont val="Calibri"/>
        <family val="2"/>
        <scheme val="minor"/>
      </rPr>
      <t>inscrit à la demande d’une personne intéressée</t>
    </r>
    <r>
      <rPr>
        <sz val="11"/>
        <rFont val="Calibri"/>
        <family val="2"/>
        <scheme val="minor"/>
      </rPr>
      <t>, via un bordereau accompagné des documents justificatifs, preuve de paiement, et le mandat si besoin.</t>
    </r>
  </si>
  <si>
    <t>I. Actes de reproduction/modification autorisés sans accord de l'auteur si nécessaires à l'utilisation normale du logiciel (y compris corrections d'erreurs). Contrat possible pour réserver ces droits à l'auteur.
- II. Droit de copie de sauvegarde.
- III. Droit d'étudier le logiciel (reverse engineering) pour en comprendre les principes.
- IV. Décompilation autorisée uniquement pour l'interopérabilité, sous conditions strictes (pas d'usage détourné).
- VIII. Principe de non-atteinte à l'exploitation normale du logiciel.</t>
  </si>
  <si>
    <t>Cession possible (totale/partielle), avec rémunération proportionnelle aux recettes (sauf exceptions, notamment pour les logiciels où un forfait est autorisé).
- Conversion en annuités forfaitaires possible à la demande de l'auteur.</t>
  </si>
  <si>
    <t>Définition des plateformes visées (stockage massif de contenus protégés, but lucratif).
- Exclusions : encyclopédies non lucratives, logiciels libres, services cloud personnels, etc.
- Critères pour "quantité importante" de contenus : nombre de fichiers, type d’œuvres, audience.</t>
  </si>
  <si>
    <t>I-II. Agents habilités à obtenir des FAI les coordonnées d’abonnés suspectés de contrefaçon.
- III. Pouvoirs d’enquête (pseudonymes, reproduction d’œuvres, collecte de preuves) pour constater les infractions (contrefaçon en ligne).
- Nullité si incitation à l'infraction.</t>
  </si>
  <si>
    <t>L'autorité de surveillance du marché peut demander au fabricant de corriger une non-conformité si :
Le marquage CE est absent ou mal apposé,
La déclaration UE de conformité est manquante ou incorrecte,
Le numéro de l’organisme notifié (si nécessaire) n’est pas apposé,
La documentation technique est incomplète ou absente.</t>
  </si>
  <si>
    <t>Si un acteur (éditeur, fabricant, exploitant) n’a pas accès aux infos techniques nécessaires à l’interopérabilité, il peut saisir l’ARCOM, qui a 4 mois pour décider.
Ces infos incluent la doc technique et les interfaces de programmation pour accéder légalement à une œuvre protégée.
Le titulaire des droits ne peut bloquer la publication du code source, sauf si cela nuit gravement à la sécurité.
L’ARCOM peut :
Accepter un accord entre les parties,
Ou ordonner l’accès aux infos, avec astreinte si besoin.
En cas de non-respect : amende jusqu’à 5 % du CA mondial ou 1,5 M€ max.
Décisions publiques et contestables devant la Cour d’appel de Paris (recours suspensif).
L’ARCOM peut aussi saisir l’Autorité de la concurrence en cas d’abus.</t>
  </si>
  <si>
    <t>Le producteur d’une base de données bénéficie d’une protection spécifique s’il a réalisé un investissement substantiel (financier, matériel ou humain) pour la constituer, vérifier ou présenter.</t>
  </si>
  <si>
    <t>Toute reproduction illégale d’une œuvre (écrits, musique, dessins, etc.) constitue une contrefaçon, donc un délit.
Peine : 3 ans de prison et 300 000 € d’amende.
Sont aussi punis : la vente, import/export, détention de copies contrefaites.
En bande organisée : peines portées à 7 ans et 750 000 €.</t>
  </si>
  <si>
    <t>Est puni de 3 ans de prison et 300 000 € d’amende :
Celui qui diffuse ou met à disposition un logiciel clairement destiné au partage illégal d’œuvres protégées.
Celui qui incite sciemment à utiliser un tel logiciel (même par publicité).</t>
  </si>
  <si>
    <t>L’auteur a, durant sa vie, le droit exclusif d’exploiter son œuvre et d’en tirer un profit financier.
Après le décès, ce droit est transmis à ses ayant droit pour l’année civile en cours + 70 ans.</t>
  </si>
  <si>
    <t>Toute reproduction, représentation ou diffusion d’une œuvre de l’esprit en violation des droits de l’auteur constitue un délit de contrefaçon.
Cela inclut aussi la violation des droits d’auteur liés aux logiciels.</t>
  </si>
  <si>
    <t>Le nantissement des droits d’exploitation des logiciels est inscrit dans un registre spécial tenu par l’Institut national de la propriété industrielle (INPI).
Pour chaque logiciel, le registre contient :
L’identité du titulaire du droit et du créancier gagiste, avec toutes modifications.
Les éléments d’identification du logiciel (nom, marque, code-source, documents, mises à jour).
L’acte de constitution du nantissement.
Les actes modifiant la propriété ou jouissance des droits.
Les modifications des droits du créancier nanti.
Les décisions judiciaires portant sur les droits.
Les corrections d’erreurs matérielles.</t>
  </si>
  <si>
    <t>La demande s’effectue via un bordereau avec :
L’identité du créancier et du débiteur.
La désignation précise du logiciel (nom, marque, code-source, etc.).
La nature et la date du nantissement.
Le montant de la créance, son exigibilité, intérêts et frais.
Le bordereau doit être accompagné de :
L’original ou une copie de l’acte de nantissement,
La preuve de paiement de la redevance.</t>
  </si>
  <si>
    <t>Toute inscription au registre est publiée au Bulletin officiel de la propriété industrielle.
Toute personne intéressée peut obtenir auprès de l’INPI :
Une reproduction des inscriptions,
Un certificat d’absence d’inscription.</t>
  </si>
  <si>
    <t>Tous les documents (imprimés, graphiques, photographiques, sonores, audiovisuels, multimédias), peu importe la technique, doivent faire l’objet d’un dépôt légal dès qu’ils sont mis à disposition du public.
Les logiciels et bases de données sont aussi soumis au dépôt légal dès leur diffusion sur un support matériel.
Sont soumis aussi les signes, signaux, images, sons ou messages diffusés au public par voie électronique.</t>
  </si>
  <si>
    <t>Le dépôt légal se fait par remise ou envoi postal à l’organisme dépositaire, en un nombre limité d’exemplaires.
Un décret précise :
Les conditions d’autres moyens possibles pour le dépôt (ex : enregistrement d’émissions radiophoniques/télédiffusées).
Les modalités spécifiques pour chaque catégorie d’éditeurs et exemptions possibles.
Les exceptions à l’obligation pour certains documents peu pertinents.
La possibilité de sélection des documents à déposer quand la collecte totale n’est pas nécessaire.</t>
  </si>
  <si>
    <t xml:space="preserve">L'entreprise ne traite pas des donnes personneles des enfants ? </t>
  </si>
  <si>
    <t xml:space="preserve"> Notre entreprise n'est pas un etablissement publique </t>
  </si>
  <si>
    <t>Appliquable pour les bibliothèques et centres éducatifs</t>
  </si>
  <si>
    <t>Ce loi est relative au entreprises du secteur financier, notre entreprise n’est pas concernée par cette réglementation</t>
  </si>
  <si>
    <t>Ce loi est relative au systèmes d'information d'importance vitale, notre entreprise n’est pas concernée par cette réglementation</t>
  </si>
  <si>
    <t>a verifier si  l'entreprise traite des donneés des organisations publiques en france</t>
  </si>
  <si>
    <t>2.0</t>
  </si>
  <si>
    <t>l'activité de l'entreprise  ne traitent pas de données à des fins historiques/scientifiques</t>
  </si>
  <si>
    <t>L'entreprise n'est pas un établissement de production/diffusion radio ou TV, et sa activité ne nécessite pas la diffusion d’œuvres audiovisuelles issues de ces établissements.</t>
  </si>
  <si>
    <t>Conforme</t>
  </si>
  <si>
    <t>Non Conforme</t>
  </si>
  <si>
    <t>Non conforme</t>
  </si>
  <si>
    <t>conforme</t>
  </si>
  <si>
    <t>,,</t>
  </si>
  <si>
    <t>Conformité</t>
  </si>
  <si>
    <t>Percentage de conformité</t>
  </si>
  <si>
    <t>(NB.SI(G3;"Oui")/NBVAL(G3)*100)</t>
  </si>
  <si>
    <t>(NB.SI(G7:G7; "Oui")/NBVAL(G7:G7))*100</t>
  </si>
  <si>
    <t>RGPD</t>
  </si>
  <si>
    <t>Article 5 Principes relatifs au traitement des données à caractère personnel 1.Les données à caractère personnel doivent être: a) traitées de manière licite, loyale et transparente au regard de la personne concernée (licéité, loyauté, transparence); b) collectées pour des finalités déterminées, explicites et légitimes, et ne pas être traitées ultérieurement d'une manière incompatible avec ces finalités; le traitement ultérieur à des fins archivistiques dans l'intérêt public, à des fins de recherche scientifique ou historique ou à des fins statistiques n'est pas considéré, conformément à l'article 89, paragraphe 1, comme incompatible avec les finalités initiales (limitation des finalités); c) adéquates, pertinentes et limitées à ce qui est nécessaire au regard des finalités pour lesquelles elles sont traitées (minimisation des données); d) exactes et, si nécessaire, tenues à jour; toutes les mesures raisonnables doivent être prises pour que les données à caractère personnel qui sont inexactes, eu égard aux finalités pour lesquelles elles sont traitées, soient effacées ou rectifiées sans tarder (exactitude); 4.5.2016 L 119/35 Journal officiel de l'Union européenne FR (1)Directive (UE) 2015/1535 du Parlement européen et du Conseil du 9 septembre 2015 prévoyant une procédure d'information dans le domaine des réglementations techniques et des règles relatives aux services de la société de l'information (JO L 241 du 17.9.2015, p. 1).
e) conservées sous une forme permettant l'identification des personnes concernées pendant une durée n'excédant pas celle nécessaire au regard des finalités pour lesquelles elles sont traitées; les données à caractère personnel peuvent être conservées pour des durées plus longues dans la mesure où elles seront traitées exclusivement à des fins archivistiques dans l'intérêt public, à des fins de recherche scientifique ou historique ou à des fins statistiques conformément à l'article 89, paragraphe 1, pour autant que soient mises en oeuvre les mesures techniques et organisationnelles appropriées requises par le présent règlement afin de garantir les droits et libertés de la personne concernée (limitation de la conservation); f) traitées de façon à garantir une sécurité appropriée des données à caractère personnel, y compris la protection contre le traitement non autorisé ou illicite et contre la perte, la destruction ou les dégâts d'origine accidentelle, à l'aide de mesures techniques ou organisationnelles appropriées (intégrité et confidentialité); 2.Le responsable du traitement est responsable du respect du paragraphe 1 et est en mesure de démontrer que celui- ci est respecté (responsabilité).</t>
  </si>
  <si>
    <t>Le traitement n'est licite que si, et dans la mesure où, au moins une des conditions suivantes est remplie: a) la personne concernée a consenti au traitement de ses données à caractère personnel pour une ou plusieurs finalités spécifiques; b) le traitement est nécessaire à l'exécution d'un contrat auquel la personne concernée est partie ou à l'exécution de mesures précontractuelles prises à la demande de celle-ci; c) le traitement est nécessaire au respect d'une obligation légale à laquelle le responsable du traitement est soumis; d) le traitement est nécessaire à la sauvegarde des intérêts vitaux de la personne concernée ou d'une autre personne physique; e) le traitement est nécessaire à l'exécution d'une mission d'intérêt public ou relevant de l'exercice de l'autorité publique dont est investi le responsable du traitement; f) le traitement est nécessaire aux fins des intérêts légitimes poursuivis par le responsable du traitement ou par un tiers, à moins que ne prévalent les intérêts ou les libertés et droits fondamentaux de la personne concernée qui exigent une protection des données à caractère personnel, notamment lorsque la personne concernée est un enfant. Le point f) du premier alinéa ne s'applique pas au traitement effectué par les autorités publiques dans l'exécution de leurs missions. 2.Les États membres peuvent maintenir ou introduire des dispositions plus spécifiques pour adapter l'application des règles du présent règlement pour ce qui est du traitement dans le but de respecter le paragraphe 1, points c) et e), en déterminant plus précisément les exigences spécifiques applicables au traitement ainsi que d'autres mesures visant à garantir un traitement licite et loyal, y compris dans d'autres situations particulières de traitement comme le prévoit le chapitre IX. 3.Le fondement du traitement visé au paragraphe 1, points c) et e), est défini par: a) le droit de l'Union; ou b) le droit de l'État membre auquel le responsable du traitement est soumis. Les finalités du traitement sont définies dans cette base juridique ou, en ce qui concerne le traitement visé au paragraphe 1, point e), sont nécessaires à l'exécution d'une mission d'intérêt public ou relevant de l'exercice de l'autorité publique dont est investi le responsable du traitement. Cette base juridique peut contenir des dispositions spécifiques pour adapter l'application des règles du présent règlement, entre autres: les conditions générales régissant la licéité du traitement par le responsable du traitement; les types de données qui font l'objet du traitement; les personnes concernées; les entités auxquelles les données à caractère personnel peuvent être communiquées et les finalités pour lesquelles elles peuvent l'être; la limitation des finalités; les durées de conservation; et les opérations et procédures de 4.5.2016 L 119/36 Journal officiel de l'Union européenne FR
traitement, y compris les mesures visant à garantir un traitement licite et loyal, telles que celles prévues dans d'autres situations particulières de traitement comme le prévoit le chapitre IX. Le droit de l'Union ou le droit des États membres répond à un objectif d'intérêt public et est proportionné à l'objectif légitime poursuivi. 4.Lorsque le traitement à une fin autre que celle pour laquelle les données ont été collectées n'est pas fondé sur le consentement de la personne concernée ou sur le droit de l'Union ou le droit d'un État membre qui constitue une mesure nécessaire et proportionnée dans une société démocratique pour garantir les objectifs visés à l'article 23, paragraphe 1, le responsable du traitement, afin de déterminer si le traitement à une autre fin est compatible avec la finalité pour laquelle les données à caractère personnel ont été initialement collectées, tient compte, entre autres: a) de l'existence éventuelle d'un lien entre les finalités pour lesquelles les données à caractère personnel ont été collectées et les finalités du traitement ultérieur envisagé; b) du contexte dans lequel les données à caractère personnel ont été collectées, en particulier en ce qui concerne la relation entre les personnes concernées et le responsable du traitement; c) de la nature des données à caractère personnel, en particulier si le traitement porte sur des catégories particulières de données à caractère personnel, en vertu de l'article 9, ou si des données à caractère personnel relatives à des condamnations pénales et à des infractions sont traitées, en vertu de l'article 10; d) des conséquences possibles du traitement ultérieur envisagé pour les personnes concernées; e) de l'existence de garanties appropriées, qui peuvent comprendre le chiffrement ou la pseudonymisation.</t>
  </si>
  <si>
    <t>Article 7 Conditions applicables au consentement 1.Dans les cas où le traitement repose sur le consentement, le responsable du traitement est en mesure de démontrer que la personne concernée a donné son consentement au traitement de données à caractère personnel la concernant. 2.Si le consentement de la personne concernée est donné dans le cadre d'une déclaration écrite qui concerne également d'autres questions, la demande de consentement est présentée sous une forme qui la distingue clairement de ces autres questions, sous une forme compréhensible et aisément accessible, et formulée en des termes clairs et simples. Aucune partie de cette déclaration qui constitue une violation du présent règlement n'est contraignante. 3.La personne concernée a le droit de retirer son consentement à tout moment. Le retrait du consentement ne compromet pas la licéité du traitement fondé sur le consentement effectué avant ce retrait. La personne concernée en est informée avant de donner son consentement. Il est aussi simple de retirer que de donner son consentement. 4.Au moment de déterminer si le consentement est donné librement, il y a lieu de tenir le plus grand compte de la question de savoir, entre autres, si l'exécution d'un contrat, y compris la fourniture d'un service, est subordonnée au consentement au traitement de données à caractère personnel qui n'est pas nécessaire à l'exécution dudit contrat.</t>
  </si>
  <si>
    <t>Art. 7</t>
  </si>
  <si>
    <t>1.Le traitement des données à caractère personnel qui révèle l'origine raciale ou ethnique, les opinions politiques, les convictions religieuses ou philosophiques ou l'appartenance syndicale, ainsi que le traitement des données génétiques, des données biométriques aux fins d'identifier une personne physique de manière unique, des données concernant la santé ou des données concernant la vie sexuelle ou l'orientation sexuelle d'une personne physique sont interdits. 2.Le paragraphe 1 ne s'applique pas si l'une des conditions suivantes est remplie: a) la personne concernée a donné son consentement explicite au traitement de ces données à caractère personnel pour une ou plusieurs finalités spécifiques, sauf lorsque le droit de l'Union ou le droit de l'État membre prévoit que l'interdiction visée au paragraphe 1 ne peut pas être levée par la personne concernée; b) le traitement est nécessaire aux fins de l'exécution des obligations et de l'exercice des droits propres au responsable du traitement ou à la personne concernée en matière de droit du travail, de la sécurité sociale et de la protection sociale, dans la mesure où ce traitement est autorisé par le droit de l'Union, par le droit d'un État membre ou par une convention collective conclue en vertu du droit d'un État membre qui prévoit des garanties appropriées pour les droits fondamentaux et les intérêts de la personne concernée; c) le traitement est nécessaire à la sauvegarde des intérêts vitaux de la personne concernée ou d'une autre personne physique, dans le cas où la personne concernée se trouve dans l'incapacité physique ou juridique de donner son consentement; d) le traitement est effectué, dans le cadre de leurs activités légitimes et moyennant les garanties appropriées, par une fondation, une association ou tout autre organisme à but non lucratif et poursuivant une finalité politique, philosophique, religieuse ou syndicale, à condition que ledit traitement se rapporte exclusivement aux membres ou aux anciens membres dudit organisme ou aux personnes entretenant avec celui-ci des contacts réguliers en liaison avec ses finalités et que les données à caractère personnel ne soient pas communiquées en dehors de cet organisme sans le consentement des personnes concernées; e) le traitement porte sur des données à caractère personnel qui sont manifestement rendues publiques par la personne concernée; f) le traitement est nécessaire à la constatation, à l'exercice ou à la défense d'un droit en justice ou chaque fois que des juridictions agissent dans le cadre de leur fonction juridictionnelle; g) le traitement est nécessaire pour des motifs d'intérêt public important, sur la base du droit de l'Union ou du droit d'un 'État membre qui doit être proportionné à l'objectif poursuivi, respecter l'essence du droit à la protection des données et prévoir des mesures appropriées et spécifiques pour la sauvegarde des droits fondamentaux et des intérêts de la personne concernée; h) le traitement est nécessaire aux fins de la médecine préventive ou de la médecine du travail, de l'appréciation de la capacité de travail du travailleur, de diagnostics médicaux, de la prise en charge sanitaire ou sociale, ou de la gestion des systèmes et des services de soins de santé ou de protection sociale sur la base du droit de l'Union, du droit d'un État membre ou en vertu d'un contrat conclu avec un professionnel de la santé et soumis aux conditions et garanties visées au paragraphe 3; i) le traitement est nécessaire pour des motifs d'intérêt public dans le domaine de la santé publique, tels que la protection contre les menaces transfrontalières graves pesant sur la santé, ou aux fins de garantir des normes élevées de qualité et de sécurité des soins de santé et des médicaments ou des dispositifs médicaux, sur la base du droit de l'Union ou du droit de l'État membre qui prévoit des mesures appropriées et spécifiques pour la sauvegarde des droits et libertés de la personne concernée, notamment le secret professionnel; 4.5.2016 L 119/38 Journal officiel de l'Union européenne FR
j) le traitement est nécessaire à des fins archivistiques dans l'intérêt public, à des fins de recherche scientifique ou historique ou à des fins statistiques, conformément à l'article 89, paragraphe 1, sur la base du droit de l'Union ou du droit d'un État membre qui doit être proportionné à l'objectif poursuivi, respecter l'essence du droit à la protection des données et prévoir des mesures appropriées et spécifiques pour la sauvegarde des droits fondamentaux et des intérêts de la personne concernée. 3.Les données à caractère personnel visées au paragraphe 1 peuvent faire l'objet d'un traitement aux fins prévues au paragraphe 2, point h), si ces données sont traitées par un professionnel de la santé soumis à une obligation de secret professionnel conformément au droit de l'Union, au droit d'un État membre ou aux règles arrêtées par les organismes nationaux compétents, ou sous sa responsabilité, ou par une autre personne également soumise à une obligation de secret conformément au droit de l'Union ou au droit d'un État membre ou aux règles arrêtées par les organismes nationaux compétents. 4.Les États membres peuvent maintenir ou introduire des conditions supplémentaires, y compris des limitations, en ce qui concerne le traitement des données génétiques, des données biométriques ou des données concernant la santé</t>
  </si>
  <si>
    <t xml:space="preserve">Art. 9 </t>
  </si>
  <si>
    <t>Traitement des données à caractère personnel relatives aux condamnations pénales et aux infractions Le traitement des données à caractère personnel relatives aux condamnations pénales et aux infractions ou aux mesures de sûreté connexes fondé sur l'article 6, paragraphe 1, ne peut être effectué que sous le contrôle de l'autorité publique, ou si le traitement est autorisé par le droit de l'Union ou par le droit d'un 'État membre qui prévoit des garanties appropriées pour les droits et libertés des personnes concernées. Tout registre complet des condamnations pénales ne peut être tenu que sous le contrôle de l'autorité publique.</t>
  </si>
  <si>
    <t>Transparence des informations et des communications et modalités de l'exercice des droits de la personne concernée 1.Le responsable du traitement prend des mesures appropriées pour fournir toute information visée aux articles 13 et 14 ainsi que pour procéder à toute communication au titre des articles 15 à 22 et de l'article 34 en ce qui concerne le traitement à la personne concernée d'une façon concise, transparente, compréhensible et aisément accessible, en des termes clairs et simples, en particulier pour toute information destinée spécifiquement à un enfant. Les informations sont fournies par écrit ou par d'autres moyens y compris, lorsque c'est approprié, par voie électronique. Lorsque la personne concernée en fait la demande, les informations peuvent être fournies oralement, à condition que l'identité de la personne concernée soit démontrée par d'autres moyens. 4.5.2016 L 119/39 Journal officiel de l'Union européenne FR
2.Le responsable du traitement facilite l'exercice des droits conférés à la personne concernée au titre des articles 15 à 22. Dans les cas visés à l'article 11, paragraphe 2, le responsable du traitement ne refuse pas de donner suite à la demande de la personne concernée d'exercer les droits que lui confèrent les articles 15 à 22, à moins que le responsable du traitement ne démontre qu'il n'est pas en mesure d'identifier la personne concernée. 3.Le responsable du traitement fournit à la personne concernée des informations sur les mesures prises à la suite d'une demande formulée en application des articles 15 à 22, dans les meilleurs délais et en tout état de cause dans un délai d'un mois à compter de la réception de la demande. Au besoin, ce délai peut être prolongé de deux mois, compte tenu de la complexité et du nombre de demandes. Le responsable du traitement informe la personne concernée de cette prolongation et des motifs du report dans un délai d'un mois à compter de la réception de la demande. Lorsque la personne concernée présente sa demande sous une forme électronique, les informations sont fournies par voie électronique lorsque cela est possible, à moins que la personne concernée ne demande qu'il en soit autrement. 4.Si le responsable du traitement ne donne pas suite à la demande formulée par la personne concernée, il informe celle-ci sans tarder et au plus tard dans un délai d'un mois à compter de la réception de la demande des motifs de son inaction et de la possibilité d'introduire une réclamation auprès d'une autorité de contrôle et de former un recours juridictionnel. 5.Aucun paiement n'est exigé pour fournir les informations au titre des articles 13 et 14 et pour procéder à toute communication et prendre toute mesure au titre des articles 15 à 22 et de l'article 34. Lorsque les demandes d'une personne concernée sont manifestement infondées ou excessives, notamment en raison de leur caractère répétitif, le responsable du traitement peut: a) exiger le paiement de frais raisonnables qui tiennent compte des coûts administratifs supportés pour fournir les informations, procéder aux communications ou prendre les mesures demandées; ou b) refuser de donner suite à ces demandes. Il incombe au responsable du traitement de démontrer le caractère manifestement infondé ou excessif de la demande. 6.Sans préjudice de l'article 11, lorsque le responsable du traitement a des doutes raisonnables quant à l'identité de la personne physique présentant la demande visée aux articles 15 à 21, il peut demander que lui soient fournies des informations supplémentaires nécessaires pour confirmer l'identité de la personne concernée. 7.Les informations à communiquer aux personnes concernées en application des articles 13 et 14 peuvent être fournies accompagnées d'icônes normalisées afin d'offrir une bonne vue d'ensemble, facilement visible, compréhensible et clairement lisible, du traitement prévu. Lorsque les icônes sont présentées par voie électronique, elles sont lisibles par machine. 8.La Commission est habilitée à adopter des actes délégués en conformité avec l'article 92, aux fins de déterminer les informations à présenter sous la forme d'icônes ainsi que les procédures régissant la fourniture d'icônes normalisées.</t>
  </si>
  <si>
    <t>Informations à fournir lorsque des données à caractère personnel sont collectées auprès de la personne concernée 1.Lorsque des données à caractère personnel relatives à une personne concernée sont collectées auprès de cette personne, le responsable du traitement lui fournit, au moment où les données en question sont obtenues, toutes les informations suivantes: a) l'identité et les coordonnées du responsable du traitement et, le cas échéant, du représentant du responsable du traitement b) le cas échéant, les coordonnées du délégué à la protection des données; c) les finalités du traitement auquel sont destinées les données à caractère personnel ainsi que la base juridique du traitement; 4.5.2016 L 119/40 Journal officiel de l'Union européenne FR
d) lorsque le traitement est fondé sur l'article 6, paragraphe 1, point f), les intérêts légitimes poursuivis par le responsable du traitement ou par un tiers; e) les destinataires ou les catégories de destinataires des données à caractère personnel, s'ils existent; et f) le cas échéant, le fait que le responsable du traitement a l'intention d'effectuer un transfert de données à caractère personnel vers un pays tiers ou à une organisation internationale, et l'existence ou l'absence d'une décision d'adéquation rendue par la Commission ou, dans le cas des transferts visés à l'article 46 ou 47, ou à l'article 49, paragraphe 1, deuxième alinéa, la référence aux garanties appropriées ou adaptées et les moyens d'en obtenir une copie ou l'endroit où elles ont été mises à disposition; 2.En plus des informations visées au paragraphe 1, le responsable du traitement fournit à la personne concernée, au moment où les données à caractère personnel sont obtenues, les informations complémentaires suivantes qui sont nécessaires pour garantir un traitement équitable et transparent: a) la durée de conservation des données à caractère personnel ou, lorsque ce n'est pas possible, les critères utilisés pour déterminer cette durée; b)l'existence du droit de demander au responsable du traitement l'accès aux données à caractère personnel, la rectification ou l'effacement de celles-ci, ou une limitation du traitement relatif à la personne concernée, ou du droit de s'opposer au traitement et du droit à la portabilité des données; c) lorsque le traitement est fondé sur l'article 6, paragraphe 1, point a), ou sur l'article 9, paragraphe 2, point a), l'existence du droit de retirer son consentement à tout moment, sans porter atteinte à la licéité du traitement fondé sur le consentement effectué avant le retrait de celui-ci; d) le droit d'introduire une réclamation auprès d'une autorité de contrôle; e) des informations sur la question de savoir si l'exigence de fourniture de données à caractère personnel a un caractère réglementaire ou contractuel ou si elle conditionne la conclusion d'un contrat et si la personne concernée est tenue de fournir les données à caractère personnel, ainsi que sur les conséquences éventuelles de la non-fourniture de ces données; f) l'existence d'une prise de décision automatisée, y compris un profilage, visée à l'article 22, paragraphes 1 et 4, et, au moins en pareils cas, des informations utiles concernant la logique sous-jacente, ainsi que l'importance et les conséquences prévues de ce traitement pour la personne concernée. 3.Lorsqu'il a l'intention d'effectuer un traitement ultérieur des données à caractère personnel pour une finalité autre que celle pour laquelle les données à caractère personnel ont été collectées, le responsable du traitement fournit au préalable à la personne concernée des informations au sujet de cette autre finalité et toute autre information pertinente visée au paragraphe 2. 4.Les paragraphes 1, 2 et 3 ne s'appliquent pas lorsque, et dans la mesure où, la personne concernée dispose déjà de ces informations. Article</t>
  </si>
  <si>
    <t>Informations à fournir lorsque les données à caractère personnel n'ont pas été collectées auprès de la personne concernée 1.Lorsque les données à caractère personnel n'ont pas été collectées auprès de la personne concernée, le responsable du traitement fournit à celle-ci toutes les informations suivantes: a) l'identité et les coordonnées du responsable du traitement et, le cas échéant, du représentant du responsable du traitement; b) le cas échéant, les coordonnées du délégué à la protection des données; c) les finalités du traitement auquel sont destinées les données à caractère personnel ainsi que la base juridique du traitement; d) les catégories de données à caractère personnel concernées; e) le cas échéant, les destinataires ou les catégories de destinataires des données à caractère personnel; 4.5.2016 L 119/41 Journal officiel de l'Union européenne FR
f) le cas échéant, le fait que le responsable du traitement a l'intention d'effectuer un transfert de données à caractère personnel à un destinataire dans un pays tiers ou une organisation internationale, et l'existence ou l'absence d'une décision d'adéquation rendue par la Commission ou, dans le cas des transferts visés à l'article 46 ou 47, ou à l'article 49, paragraphe 1, deuxième alinéa, la référence aux garanties appropriées ou adaptées et les moyens d'en obtenir une copie ou l'endroit où elles ont été mises à disposition; 2.En plus des informations visées au paragraphe 1, le responsable du traitement fournit à la personne concernée les informations suivantes nécessaires pour garantir un traitement équitable et transparent à l'égard de la personne concernée: a) la durée pendant laquelle les données à caractère personnel seront conservées ou, lorsque ce n'est pas possible, les critères utilisés pour déterminer cette durée; b) lorsque le traitement est fondé sur l'article 6, paragraphe 1, point f), les intérêts légitimes poursuivis par le responsable du traitement ou par un tiers; c)l'existence du droit de demander au responsable du traitement l'accès aux données à caractère personnel, la rectification ou l'effacement de celles-ci, ou une limitation du traitement relatif à la personne concernée, ainsi que du droit de s'opposer au traitement et du droit à la portabilité des données; d) lorsque le traitement est fondé sur l'article 6, paragraphe 1, point a), ou sur l'article 9, paragraphe 2, point a), l'existence du droit de retirer le consentement à tout moment, sans porter atteinte à la licéité du traitement fondé sur le consentement effectué avant le retrait de celui-ci; e) le droit d'introduire une réclamation auprès d'une autorité de contrôle; f) la source d'où proviennent les données à caractère personnel et, le cas échéant, une mention indiquant qu'elles sont issues ou non de sources accessibles au public; g) l'existence d'une prise de décision automatisée, y compris un profilage, visée à l'article 22, paragraphes 1 et 4, et, au moins en pareils cas, des informations utiles concernant la logique sous-jacente, ainsi que l'importance et les conséquences prévues de ce traitement pour la personne concernée. 3.Le responsable du traitement fournit les informations visées aux paragraphes 1 et 2: a) dans un délai raisonnable après avoir obtenu les données à caractère personnel, mais ne dépassant pas un mois, eu égard aux circonstances particulières dans lesquelles les données à caractère personnel sont traitées; b) si les données à caractère personnel doivent être utilisées aux fins de la communication avec la personne concernée, au plus tard au moment de la première communication à ladite personne; ou c) s'il est envisagé de communiquer les informations à un autre destinataire, au plus tard lorsque les données à caractère personnel sont communiquées pour la première fois. 4.Lorsqu'il a l'intention d'effectuer un traitement ultérieur des données à caractère personnel pour une finalité autre que celle pour laquelle les données à caractère personnel ont été obtenues, le responsable du traitement fournit au préalable à la personne concernée des informations au sujet de cette autre finalité et toute autre information pertinente visée au paragraphe 2. 5.Les paragraphes 1 à 4 ne s'appliquent pas lorsque et dans la mesure où: a) la personne concernée dispose déjà de ces informations; b) la fourniture de telles informations se révèle impossible ou exigerait des efforts disproportionnés, en particulier pour le traitement à des fins archivistiques dans l'intérêt public, à des fins de recherche scientifique ou historique ou à des fins statistiques sous réserve des conditions et garanties visées à l'article 89, paragraphe 1, ou dans la mesure où l'obligation visée au paragraphe 1 du présent article est susceptible de rendre impossible ou de compromettre gravement la réalisation des objectifs dudit traitement. En pareils cas, le responsable du traitement prend des mesures appropriées pour protéger les droits et libertés ainsi que les intérêts légitimes de la personne concernée, y compris en rendant les informations publiquement disponibles; c) l'obtention ou la communication des informations sont expressément prévues par le droit de l'Union ou le droit de l'État membre auquel le responsable du traitement est soumis et qui prévoit des mesures appropriées visant à protéger les intérêts légitimes de la personne concernée; ou d) les données à caractère personnel doivent rester confidentielles en vertu d'une obligation de secret professionnel réglementée par le droit de l'Union ou le droit des États membre, y compris une obligation légale de secret professionnel. 4.5.2016 L 119/42 Journal officiel de l'Union européenne FR</t>
  </si>
  <si>
    <t>Art. 16</t>
  </si>
  <si>
    <t>Droit d'accès de la personne concernée 1.La personne concernée a le droit d'obtenir du responsable du traitement la confirmation que des données à caractère personnel la concernant sont ou ne sont pas traitées et, lorsqu'elles le sont, l'accès auxdites données à caractère personnel ainsi que les informations suivantes: a) les finalités du traitement; b) les catégories de données à caractère personnel concernées; c) les destinataires ou catégories de destinataires auxquels les données à caractère personnel ont été ou seront communiquées, en particulier les destinataires qui sont établis dans des pays tiers ou les organisations internationales; d) lorsque cela est possible, la durée de conservation des données à caractère personnel envisagée ou, lorsque ce n'est pas possible, les critères utilisés pour déterminer cette durée; e) l'existence du droit de demander au responsable du traitement la rectification ou l'effacement de données à caractère personnel, ou une limitation du traitement des données à caractère personnel relatives à la personne concernée, ou du droit de s'opposer à ce traitement; f) le droit d'introduire une réclamation auprès d'une autorité de contrôle; g) lorsque les données à caractère personnel ne sont pas collectées auprès de la personne concernée, toute information disponible quant à leur source; h) l'existence d'une prise de décision automatisée, y compris un profilage, visée à l'article 22, paragraphes 1 et 4, et, au moins en pareils cas, des informations utiles concernant la logique sous-jacente, ainsi que l'importance et les conséquences prévues de ce traitement pour la personne concernée. 2.Lorsque les données à caractère personnel sont transférées vers un pays tiers ou à une organisation internationale, la personne concernée a le droit d'être informée des garanties appropriées, en vertu de l'article 46, en ce qui concerne ce transfert. 3.Le responsable du traitement fournit une copie des données à caractère personnel faisant l'objet d'un traitement. Le responsable du traitement peut exiger le paiement de frais raisonnables basés sur les coûts administratifs pour toute copie supplémentaire demandée par la personne concernée. Lorsque la personne concernée présente sa demande par voie électronique, les informations sont fournies sous une forme électronique d'usage courant, à moins que la personne concernée ne demande qu'il en soit autrement. 4.Le droit d'obtenir une copie visé au paragraphe 3 ne porte pas atteinte aux droits et libertés d'autrui.</t>
  </si>
  <si>
    <t>Droit de rectification La personne concernée a le droit d'obtenir du responsable du traitement, dans les meilleurs délais, la rectification des données à caractère personnel la concernant qui sont inexactes. Compte tenu des finalités du traitement, la personne concernée a le droit d'obtenir que les données à caractère personnel incomplètes soient complétées, y compris en fournissant une déclaration complémentaire.</t>
  </si>
  <si>
    <t>Droit à l'effacement («droit à l'oubli») 1.La personne concernée a le droit d'obtenir du responsable du traitement l'effacement, dans les meilleurs délais, de données à caractère personnel la concernant et le responsable du traitement a l'obligation d'effacer ces données à caractère personnel dans les meilleurs délais, lorsque l'un des motifs suivants s'applique: a) les données à caractère personnel ne sont plus nécessaires au regard des finalités pour lesquelles elles ont été collectées ou traitées d'une autre manière; 4.5.2016 L 119/43 Journal officiel de l'Union européenne FR
b) la personne concernée retire le consentement sur lequel est fondé le traitement, conformément à l'article 6, paragraphe 1, point a), ou à l'article 9, paragraphe 2, point a), et il n'existe pas d'autre fondement juridique au traitement; c) la personne concernée s'oppose au traitement en vertu de l'article 21, paragraphe 1, et il n'existe pas de motif légitime impérieux pour le traitement, ou la personne concernée s'oppose au traitement en vertu de l'article 21, paragraphe 2; d) les données à caractère personnel ont fait l'objet d'un traitement illicite; e) les données à caractère personnel doivent être effacées pour respecter une obligation légale qui est prévue par le droit de l'Union ou par le droit de l'État membre auquel le responsable du traitement est soumis; f) les données à caractère personnel ont été collectées dans le cadre de l'offre de services de la société de l'information visée à l'article 8, paragraphe 1. 2.Lorsqu'il a rendu publiques les données à caractère personnel et qu'il est tenu de les effacer en vertu du paragraphe 1, le responsable du traitement, compte tenu des technologies disponibles et des coûts de mise en oeuvre, prend des mesures raisonnables, y compris d'ordre technique, pour informer les responsables du traitement qui traitent ces données à caractère personnel que la personne concernée a demandé l'effacement par ces responsables du traitement de tout lien vers ces données à caractère personnel, ou de toute copie ou reproduction de celles-ci. 3.Les paragraphes 1 et 2 ne s'appliquent pas dans la mesure où ce traitement est nécessaire: a) à l'exercice du droit à la liberté d'expression et d'information; b) pour respecter une obligation légale qui requiert le traitement prévue par le droit de l'Union ou par le droit de l'État membre auquel le responsable du traitement est soumis, ou pour exécuter une mission d'intérêt public ou relevant de l'exercice de l'autorité publique dont est investi le responsable du traitement; c) pour des motifs d'intérêt public dans le domaine de la santé publique, conformément à l'article 9, paragraphe 2, points h) et i), ainsi qu'à l'article 9, paragraphe 3; d) à des fins archivistiques dans l'intérêt public, à des fins de recherche scientifique ou historique ou à des fins statistiques conformément à l'article 89, paragraphe 1, dans la mesure où le droit visé au paragraphe 1 est susceptible de rendre impossible ou de compromettre gravement la réalisation des objectifs dudit traitement; ou e) à la constatation, à l'exercice ou à la défense de droits en justice.</t>
  </si>
  <si>
    <t>Article 18</t>
  </si>
  <si>
    <t>Droit à la limitation du traitement 1.La personne concernée a le droit d'obtenir du responsable du traitement la limitation du traitement lorsque l'un des éléments suivants s'applique: a) l'exactitude des données à caractère personnel est contestée par la personne concernée, pendant une durée permettant au responsable du traitement de vérifier l'exactitude des données à caractère personnel; b) le traitement est illicite et la personne concernée s'oppose à leur effacement et exige à la place la limitation de leur utilisation; c) le responsable du traitement n'a plus besoin des données à caractère personnel aux fins du traitement mais celles-ci sont encore nécessaires à la personne concernée pour la constatation, l'exercice ou la défense de droits en justice; d) la personne concernée s'est opposée au traitement en vertu de l'article 21, paragraphe 1, pendant la vérification portant sur le point de savoir si les motifs légitimes poursuivis par le responsable du traitement prévalent sur ceux de la personne concernée. 2.Lorsque le traitement a été limité en vertu du paragraphe 1, ces données à caractère personnel ne peuvent, à l'exception de la conservation, être traitées qu'avec le consentement de la personne concernée, ou pour la constatation, l'exercice ou la défense de droits en justice, ou pour la protection des droits d'une autre personne physique ou morale, ou encore pour des motifs importants d'intérêt public de l'Union ou d'un État membre. 4.5.2016 L 119/44 Journal officiel de l'Union européenne FR
3.Une personne concernée qui a obtenu la limitation du traitement en vertu du paragraphe 1 est informée par le responsable du traitement avant que la limitation du traitement ne soit levée.</t>
  </si>
  <si>
    <t>Article 19</t>
  </si>
  <si>
    <t>Le responsable du traitement notifie à chaque destinataire auquel les données à caractère personnel ont été communiquées toute rectification ou tout effacement de données à caractère personnel ou toute limitation du traitement effectué conformément à l'article 16, à l'article 17, paragraphe 1, et à l'article 18, à moins qu'une telle communication se révèle impossible ou exige des efforts disproportionnés. Le responsable du traitement fournit à la personne concernée des informations sur ces destinataires si celle-ci en fait la demande.</t>
  </si>
  <si>
    <t>Article 20</t>
  </si>
  <si>
    <t>Droit à la portabilité des données 1.Les personnes concernées ont le droit de recevoir les données à caractère personnel les concernant qu'elles ont fournies à un responsable du traitement, dans un format structuré, couramment utilisé et lisible par machine, et ont le droit de transmettre ces données à un autre responsable du traitement sans que le responsable du traitement auquel les données à caractère personnel ont été communiquées y fasse obstacle, lorsque: a) le traitement est fondé sur le consentement en application de l'article 6, paragraphe 1, point a), ou de l'article 9, paragraphe 2, point a), ou sur un contrat en application de l'article 6, paragraphe 1, point b); et b) le traitement est effectué à l'aide de procédés automatisés. 2.Lorsque la personne concernée exerce son droit à la portabilité des données en application du paragraphe 1, elle a le droit d'obtenir que les données à caractère personnel soient transmises directement d'un responsable du traitement à un autre, lorsque cela est techniquement possible. 3.L'exercice du droit, visé au paragraphe 1 du présent article s'entend sans préjudice de l'article 17. Ce droit ne s'applique pas au traitement nécessaire à l'exécution d'une mission d'intérêt public ou relevant de l'exercice de l'autorité publique dont est investi le responsable du traitement. 4.Le droit visé au paragraphe 1 ne porte pas atteinte aux droits et libertés de tiers.</t>
  </si>
  <si>
    <t>Article 22</t>
  </si>
  <si>
    <t>Décision individuelle automatisée, y compris le profilage 1.La personne concernée a le droit de ne pas faire l'objet d'une décision fondée exclusivement sur un traitement automatisé, y compris le profilage, produisant des effets juridiques la concernant ou l'affectant de manière significative de façon similaire. 2.Le paragraphe 1 ne s'applique pas lorsque la décision: a) est nécessaire à la conclusion ou à l'exécution d'un contrat entre la personne concernée et un responsable du traitement; b) est autorisée par le droit de l'Union ou le droit de l'État membre auquel le responsable du traitement est soumis et qui prévoit également des mesures appropriées pour la sauvegarde des droits et libertés et des intérêts légitimes de la personne concernée; ou c) est fondée sur le consentement explicite de la personne concernée. 3.Dans les cas visés au paragraphe 2, points a) et c), le responsable du traitement met en oeuvre des mesures appropriées pour la sauvegarde des droits et libertés et des intérêts légitimes de la personne concernée, au moins du droit de la personne concernée d'obtenir une intervention humaine de la part du responsable du traitement, d'exprimer son point de vue et de contester la décision. 4.Les décisions visées au paragraphe 2 ne peuvent être fondées sur les catégories particulières de données à caractère personnel visées à l'article 9, paragraphe 1, à moins que l'article 9, paragraphe 2, point a) ou g), ne s'applique et que des mesures appropriées pour la sauvegarde des droits et libertés et des intérêts légitimes de la personne concernée ne soient en place. Section</t>
  </si>
  <si>
    <t>Article 24</t>
  </si>
  <si>
    <t>Responsabilité du responsable du traitement 1.Compte tenu de la nature, de la portée, du contexte et des finalités du traitement ainsi que des risques, dont le degré de probabilité et de gravité varie, pour les droits et libertés des personnes physiques, le responsable du traitement met en oeuvre des mesures techniques et organisationnelles appropriées pour s'assurer et être en mesure de démontrer que le traitement est effectué conformément au présent règlement. Ces mesures sont réexaminées et actualisées si nécessaire. 2.Lorsque cela est proportionné au regard des activités de traitement, les mesures visées au paragraphe 1 comprennent la mise en oeuvre de politiques appropriées en matière de protection des données par le responsable du traitement. 3.L'application d'un code de conduite approuvé comme le prévoit l'article 40 ou de mécanismes de certification approuvés comme le prévoit l'article 42 peut servir d'élément pour démontrer le respect des obligations incombant au responsable du traitement.</t>
  </si>
  <si>
    <t>Article 25</t>
  </si>
  <si>
    <t>Protection des données dès la conception et protection des données par défaut 1.Compte tenu de l'état des connaissances, des coûts de mise en oeuvre et de la nature, de la portée, du contexte et des finalités du traitement ainsi que des risques, dont le degré de probabilité et de gravité varie, que présente le traitement pour les droits et libertés des personnes physiques, le responsable du traitement met en oeuvre, tant au moment de la détermination des moyens du traitement qu'au moment du traitement lui-même, des mesures techniques et organisationnelles appropriées, telles que la pseudonymisation, qui sont destinées à mettre en oeuvre les principes relatifs à la protection des données, par exemple la minimisation des données, de façon effective et à assortir le traitement des garanties nécessaires afin de répondre aux exigences du présent règlement et de protéger les droits de la personne concernée. 2.Le responsable du traitement met en oeuvre les mesures techniques et organisationnelles appropriées pour garantir que, par défaut, seules les données à caractère personnel qui sont nécessaires au regard de chaque finalité spécifique du traitement sont traitées. Cela s'applique à la quantité de données à caractère personnel collectées, à l'étendue de leur traitement, à leur durée de conservation et à leur accessibilité. En particulier, ces mesures garantissent que, par défaut, les données à caractère personnel ne sont pas rendues accessibles à un nombre indéterminé de personnes physiques sans l'intervention de la personne physique concernée. 3.Un mécanisme de certification approuvé en vertu de l'article 42 peut servir d'élément pour démontrer le respect des exigences énoncées aux paragraphes 1 et 2 du présent article.</t>
  </si>
  <si>
    <t>Responsables conjoints du traitement 1.Lorsque deux responsables du traitement ou plus déterminent conjointement les finalités et les moyens du traitement, ils sont les responsables conjoints du traitement. Les responsables conjoints du traitement définissent de manière transparente leurs obligations respectives aux fins d'assurer le respect des exigences du présent règlement, notamment en ce qui concerne l'exercice des droits de la personne concernée, et leurs obligations respectives quant à la communication des informations visées aux articles 13 et 14, par voie d'accord entre eux, sauf si, et dans la mesure, où leurs obligations respectives sont définies par le droit de l'Union ou par le droit de l'État membre auquel les responsables du traitement sont soumis. Un point de contact pour les personnes concernées peut être désigné dans l'accord. 2.L'accord visé au paragraphe 1 reflète dûment les rôles respectifs des responsables conjoints du traitement et leurs relations vis-à-vis des personnes concernées. Les grandes lignes de l'accord sont mises à la disposition de la personne concernée. 3.Indépendamment des termes de l'accord visé au paragraphe 1, la personne concernée peut exercer les droits que lui confère le présent règlement à l'égard de et contre chacun des responsables du traitement</t>
  </si>
  <si>
    <t>Article 27</t>
  </si>
  <si>
    <t>Représentants des responsables du traitement ou des sous-traitants qui ne sont pas établis dans l'Union 1.Lorsque l'article 3, paragraphe 2, s'applique, le responsable du traitement ou le sous-traitant désigne par écrit un représentant dans l'Union. 2.L'obligation prévue au paragraphe 1 du présent article ne s'applique pas: a) à un traitement qui est occasionnel, qui n'implique pas un traitement à grande échelle des catégories particulières de données visées à l'article 9, paragraphe 1, ou un traitement de données à caractère personnel relatives à des condamnations pénales et à des infractions visées à l'article 10, et qui n'est pas susceptible d'engendrer un risque pour les droits et libertés des personnes physiques, compte tenu de la nature, du contexte, de la portée et des finalités du traitement; ou b) à une autorité publique ou à un organisme public; 4.5.2016 L 119/48 Journal officiel de l'Union européenne FR
3.Le représentant est établi dans un des États membres dans lesquels se trouvent les personnes physiques dont les données à caractère personnel font l'objet d'un traitement lié à l'offre de biens ou de services, ou dont le comportement fait l'objet d'un suivi. 4.Le représentant est mandaté par le responsable du traitement ou le sous-traitant pour être la personne à qui, notamment, les autorités de contrôle et les personnes concernées doivent s'adresser, en plus ou à la place du responsable du traitement ou du sous-traitant, pour toutes les questions relatives au traitement, aux fins d'assurer le respect du présent règlement. 5.La désignation d'un représentant par le responsable du traitement ou le sous-traitant est sans préjudice d'actions en justice qui pourraient être intentées contre le responsable du traitement ou le sous-traitant lui-même.</t>
  </si>
  <si>
    <t>Sous-traitant 1.Lorsqu'un traitement doit être effectué pour le compte d'un responsable du traitement, celui-ci fait uniquement appel à des sous-traitants qui présentent des garanties suffisantes quant à la mise en oeuvre de mesures techniques et organisationnelles appropriées de manière à ce que le traitement réponde aux exigences du présent règlement et garantisse la protection des droits de la personne concernée. 2.Le sous-traitant ne recrute pas un autre sous-traitant sans l'autorisation écrite préalable, spécifique ou générale, du responsable du traitement. Dans le cas d'une autorisation écrite générale, le sous-traitant informe le responsable du traitement de tout changement prévu concernant l'ajout ou le remplacement d'autres sous-traitants, donnant ainsi au responsable du traitement la possibilité d'émettre des objections à l'encontre de ces changements. 3.Le traitement par un sous-traitant est régi par un contrat ou un autre acte juridique au titre du droit de l'Union ou du droit d'un État membre, qui lie le sous-traitant à l'égard du responsable du traitement, définit l'objet et la durée du traitement, la nature et la finalité du traitement, le type de données à caractère personnel et les catégories de personnes concernées, et les obligations et les droits du responsable du traitement. Ce contrat ou cet autre acte juridique prévoit, notamment, que le sous-traitant: a) ne traite les données à caractère personnel que sur instruction documentée du responsable du traitement, y compris en ce qui concerne les transferts de données à caractère personnel vers un pays tiers ou à une organisation internationale, à moins qu'il ne soit tenu d'y procéder en vertu du droit de l'Union ou du droit de l'État membre auquel le sous-traitant est soumis; dans ce cas, le sous-traitant informe le responsable du traitement de cette obligation juridique avant le traitement, sauf si le droit concerné interdit une telle information pour des motifs importants d'intérêt public; b)veille à ce que les personnes autorisées à traiter les données à caractère personnel s'engagent à respecter la confidentialité ou soient soumises à une obligation légale appropriée de confidentialité; c) prend toutes les mesures requises en vertu de l'article 32; d) respecte les conditions visées aux paragraphes 2 et 4 pour recruter un autre sous-traitant; e)tient compte de la nature du traitement, aide le responsable du traitement, par des mesures techniques et organisationnelles appropriées, dans toute la mesure du possible, à s'acquitter de son obligation de donner suite aux demandes dont les personnes concernées le saisissent en vue d'exercer leurs droits prévus au chapitre III; f) aide le responsable du traitement à garantir le respect des obligations prévues aux articles 32 à 36, compte tenu de la nature du traitement et des informations à la disposition du sous-traitant; g) selon le choix du responsable du traitement, supprime toutes les données à caractère personnel ou les renvoie au responsable du traitement au terme de la prestation de services relatifs au traitement, et détruit les copies existantes, à moins que le droit de l'Union ou le droit de l'État membre n'exige la conservation des données à caractère personnel; et h) met à la disposition du responsable du traitement toutes les informations nécessaires pour démontrer le respect des obligations prévues au présent article et pour permettre la réalisation d'audits, y compris des inspections, par le responsable du traitement ou un autre auditeur qu'il a mandaté, et contribuer à ces audits. 4.5.2016 L 119/49 Journal officiel de l'Union européenne FR
En ce qui concerne le point h) du premier alinéa, le sous-traitant informe immédiatement le responsable du traitement si, selon lui, une instruction constitue une violation du présent règlement ou d'autres dispositions du droit de l'Union ou du droit des États membres relatives à la protection des données. 4.Lorsqu'un sous-traitant recrute un autre sous-traitant pour mener des activités de traitement spécifiques pour le compte du responsable du traitement, les mêmes obligations en matière de protection de données que celles fixées dans le contrat ou un autre acte juridique entre le responsable du traitement et le sous-traitant conformément au paragraphe 3, sont imposées à cet autre sous-traitant par contrat ou au moyen d'un autre acte juridique au titre du droit de l'Union ou du droit d'un État membre, en particulier pour ce qui est de présenter des garanties suffisantes quant à la mise en oeuvre de mesures techniques et organisationnelles appropriées de manière à ce que le traitement réponde aux exigences du présent règlement. Lorsque cet autre sous-traitant ne remplit pas ses obligations en matière de protection des données, le sous-traitant initial demeure pleinement responsable devant le responsable du traitement de l'exécution par l'autre sous-traitant de ses obligations. 5.L'application, par un sous-traitant, d'un code de conduite approuvé comme le prévoit l'article 40 ou d'un mécanisme de certification approuvé comme le prévoit l'article 42 peut servir d'élément pour démontrer l'existence des garanties suffisantes conformément aux paragraphes 1 et 4 du présent article. 6.Sans préjudice d'un contrat particulier entre le responsable du traitement et le sous-traitant, le contrat ou l'autre acte juridique visé aux paragraphes 3 et 4 du présent article peut être fondé, en tout ou en partie, sur les clauses contractuelles types visées aux paragraphes 7 et 8 du présent article, y compris lorsqu'elles font partie d'une certification délivrée au responsable du traitement ou au sous-traitant en vertu des articles 42 et 43. 7.La Commission peut établir des clauses contractuelles types pour les questions visées aux paragraphes 3 et 4 du présent article et conformément à la procédure d'examen visée à l'article 93, paragraphe 2. 8.Une autorité de contrôle peut adopter des clauses contractuelles types pour les questions visées aux paragraphes 3 et 4 du présent article et conformément au mécanisme de contrôle de la cohérence visé à l'article 63. 9.Le contrat ou l'autre acte juridique visé aux paragraphes 3 et 4 se présente sous une forme écrite, y compris en format électronique. 10.Sans préjudice des articles 82, 83 et 84, si, en violation du présent règlement, un sous-traitant détermine les finalités et les moyens du traitement, il est considéré comme un responsable du traitement pour ce qui concerne ce traitem</t>
  </si>
  <si>
    <t>Registre des activités de traitement 1.Chaque responsable du traitement et, le cas échéant, le représentant du responsable du traitement tiennent un registre des activités de traitement effectuées sous leur responsabilité. Ce registre comporte toutes les informations suivantes: a) le nom et les coordonnées du responsable du traitement et, le cas échéant, du responsable conjoint du traitement, du représentant du responsable du traitement et du délégué à la protection des données; b) les finalités du traitement; c) une description des catégories de personnes concernées et des catégories de données à caractère personnel; 4.5.2016 L 119/50 Journal officiel de l'Union européenne FR
d) les catégories de destinataires auxquels les données à caractère personnel ont été ou seront communiquées, y compris les destinataires dans des pays tiers ou des organisations internationales; e) le cas échéant, les transferts de données à caractère personnel vers un pays tiers ou à une organisation internationale, y compris l'identification de ce pays tiers ou de cette organisation internationale et, dans le cas des transferts visés à l'article 49, paragraphe 1, deuxième alinéa, les documents attestant de l'existence de garanties appropriées; f) dans la mesure du possible, les délais prévus pour l'effacement des différentes catégories de données; g) dans la mesure du possible, une description générale des mesures de sécurité techniques et organisationnelles visées à l'article 32, paragraphe 1. 2.Chaque sous-traitant et, le cas échéant, le représentant du sous-traitant tiennent un registre de toutes les catégories d'activités de traitement effectuées pour le compte du responsable du traitement, comprenant: a) le nom et les coordonnées du ou des sous-traitants et de chaque responsable du traitement pour le compte duquel le sous-traitant agit ainsi que, le cas échéant, les noms et les coordonnées du représentant du responsable du traitement ou du sous-traitant et celles du délégué à la protection des données; b) les catégories de traitements effectués pour le compte de chaque responsable du traitement; c) le cas échéant, les transferts de données à caractère personnel vers un pays tiers ou à une organisation internationale, y compris l'identification de ce pays tiers ou de cette organisation internationale et, dans le cas des transferts visés à l'article 49, paragraphe 1, deuxième alinéa, les documents attestant de l'existence de garanties appropriées; d) dans la mesure du possible, une description générale des mesures de sécurité techniques et organisationnelles visées à l'article 32, paragraphe 1. 3.Les registres visés aux paragraphes 1 et 2 se présentent sous une forme écrite y compris la forme électronique. 4.Le responsable du traitement ou le sous-traitant et, le cas échéant, leur représentant mettent le registre à la disposition de l'autorité de contrôle sur demande. 5.Les obligations visées aux paragraphes 1 et 2 ne s'appliquent pas à une entreprise ou à une organisation comptant moins de 250 employés, sauf si le traitement qu'elles effectuent est susceptible de comporter un risque pour les droits et des libertés des personnes concernées, s'il n'est pas occasionnel ou s'il porte notamment sur les catégories particulières de données visées à l'article 9, paragraphe 1, ou sur des données à caractère personnel relatives à des condamnations pénales et à des infractions visées à l'article 10.</t>
  </si>
  <si>
    <t>Sécurité du traitement 1.Compte tenu de l'état des connaissances, des coûts de mise en oeuvre et de la nature, de la portée, du contexte et des finalités du traitement ainsi que des risques, dont le degré de probabilité et de gravité varie, pour les droits et libertés des personnes physiques, le responsable du traitement et le sous-traitant mettent en oeuvre les mesures techniques et organisationnelles appropriées afin de garantir un niveau de sécurité adapté au risque, y compris entre autres, selon les besoins: a) la pseudonymisation et le chiffrement des données à caractère personnel; 4.5.2016 L 119/51 Journal officiel de l'Union européenne FR
b) des moyens permettant de garantir la confidentialité, l'intégrité, la disponibilité et la résilience constantes des systèmes et des services de traitement; c) des moyens permettant de rétablir la disponibilité des données à caractère personnel et l'accès à celles-ci dans des délais appropriés en cas d'incident physique ou technique; d)une procédure visant à tester, à analyser et à évaluer régulièrement l'efficacité des mesures techniques et organisationnelles pour assurer la sécurité du traitement. 2.Lors de l'évaluation du niveau de sécurité approprié, il est tenu compte en particulier des risques que présente le traitement, résultant notamment de la destruction, de la perte, de l'altération, de la divulgation non autorisée de données à caractère personnel transmises, conservées ou traitées d'une autre manière, ou de l'accès non autorisé à de telles données, de manière accidentelle ou illicite. 3.L'application d'un code de conduite approuvé comme le prévoit l'article 40 ou d'un mécanisme de certification approuvé comme le prévoit l'article 42 peut servir d'élément pour démontrer le respect des exigences prévues au paragraphe 1 du présent article. 4.Le responsable du traitement et le sous-traitant prennent des mesures afin de garantir que toute personne physique agissant sous l'autorité du responsable du traitement ou sous celle du sous-traitant, qui a accès à des données à caractère personnel, ne les traite pas, excepté sur instruction du responsable du traitement, à moins d'y être obligée par le droit de l'Union ou le droit d'un État membre.</t>
  </si>
  <si>
    <t>Notification à l'autorité de contrôle d'une violation de données à caractère personnel 1.En cas de violation de données à caractère personnel, le responsable du traitement en notifie la violation en question à l'autorité de contrôle compétente conformément à l'article 55, dans les meilleurs délais et, si possible, 72 heures au plus tard après en avoir pris connaissance, à moins que la violation en question ne soit pas susceptible d'engendrer un risque pour les droits et libertés des personnes physiques. Lorsque la notification à l'autorité de contrôle n'a pas lieu dans les 72 heures, elle est accompagnée des motifs du retard. 2.Le sous-traitant notifie au responsable du traitement toute violation de données à caractère personnel dans les meilleurs délais après en avoir pris connaissance. 3.La notification visée au paragraphe 1 doit, à tout le moins: a) décrire la nature de la violation de données à caractère personnel y compris, si possible, les catégories et le nombre approximatif de personnes concernées par la violation et les catégories et le nombre approximatif d'enregistrements de données à caractère personnel concernés; b) communiquer le nom et les coordonnées du délégué à la protection des données ou d'un autre point de contact auprès duquel des informations supplémentaires peuvent être obtenues; c) décrire les conséquences probables de la violation de données à caractère personnel; d) décrire les mesures prises ou que le responsable du traitement propose de prendre pour remédier à la violation de données à caractère personnel, y compris, le cas échéant, les mesures pour en atténuer les éventuelles conséquences négatives. 4.Si, et dans la mesure où, il n'est pas possible de fournir toutes les informations en même temps, les informations peuvent être communiquées de manière échelonnée sans autre retard indu. 5.Le responsable du traitement documente toute violation de données à caractère personnel, en indiquant les faits concernant la violation des données à caractère personnel, ses effets et les mesures prises pour y remédier. La documentation ainsi constituée permet à l'autorité de contrôle de vérifier le respect du présent article.</t>
  </si>
  <si>
    <t>Art. 33</t>
  </si>
  <si>
    <t>Communication à la personne concernée d'une violation de données à caractère personnel 1.Lorsqu'une violation de données à caractère personnel est susceptible d'engendrer un risque élevé pour les droits et libertés d'une personne physique, le responsable du traitement communique la violation de données à caractère personnel à la personne concernée dans les meilleurs délais. 4.5.2016 L 119/52 Journal officiel de l'Union européenne FR
2.La communication à la personne concernée visée au paragraphe 1 du présent article décrit, en des termes clairs et simples, la nature de la violation de données à caractère personnel et contient au moins les informations et mesures visées à l'article 33, paragraphe 3, points b), c) et d). 3.La communication à la personne concernée visée au paragraphe 1 n'est pas nécessaire si l'une ou l'autre des conditions suivantes est remplie: a) le responsable du traitement a mis en oeuvre les mesures de protection techniques et organisationnelles appropriées et ces mesures ont été appliquées aux données à caractère personnel affectées par ladite violation, en particulier les mesures qui rendent les données à caractère personnel incompréhensibles pour toute personne qui n'est pas autorisée à y avoir accès, telles que le chiffrement; b) le responsable du traitement a pris des mesures ultérieures qui garantissent que le risque élevé pour les droits et libertés des personnes concernées visé au paragraphe 1 n'est plus susceptible de se matérialiser; c) elle exigerait des efforts disproportionnés. Dans ce cas, il est plutôt procédé à une communication publique ou à une mesure similaire permettant aux personnes concernées d'être informées de manière tout aussi efficace. 4.Si le responsable du traitement n'a pas déjà communiqué à la personne concernée la violation de données à caractère personnel la concernant, l'autorité de contrôle peut, après avoir examiné si cette violation de données à caractère personnel est susceptible d'engendrer un risque élevé, exiger du responsable du traitement qu'il procède à cette communication ou décider que l'une ou l'autre des conditions visées au paragraphe 3 est remplie</t>
  </si>
  <si>
    <t>Art. 34</t>
  </si>
  <si>
    <t>Art. 35</t>
  </si>
  <si>
    <t>Analyse d'impact relative à la protection des données 1.Lorsqu'un type de traitement, en particulier par le recours à de nouvelles technologies, et compte tenu de la nature, de la portée, du contexte et des finalités du traitement, est susceptible d'engendrer un risque élevé pour les droits et libertés des personnes physiques, le responsable du traitement effectue, avant le traitement, une analyse de l'impact des opérations de traitement envisagées sur la protection des données à caractère personnel. Une seule et même analyse peut porter sur un ensemble d'opérations de traitement similaires qui présentent des risques élevés similaires. 2.Lorsqu'il effectue une analyse d'impact relative à la protection des données, le responsable du traitement demande conseil au délégué à la protection des données, si un tel délégué a été désigné. 3.L'analyse d'impact relative à la protection des données visée au paragraphe 1 est, en particulier, requise dans les cas suivants: a) l'évaluation systématique et approfondie d'aspects personnels concernant des personnes physiques, qui est fondée sur un traitement automatisé, y compris le profilage, et sur la base de laquelle sont prises des décisions produisant des effets juridiques à l'égard d'une personne physique ou l'affectant de manière significative de façon similaire; b) le traitement à grande échelle de catégories particulières de données visées à l'article 9, paragraphe 1, ou de données à caractère personnel relatives à des condamnations pénales et à des infractions visées à l'article 10; ou c) la surveillance systématique à grande échelle d'une zone accessible au public. 4.L'autorité de contrôle établit et publie une liste des types d'opérations de traitement pour lesquelles une analyse d'impact relative à la protection des données est requise conformément au paragraphe 1. L'autorité de contrôle communique ces listes au comité visé à l'article 68. 5.L'autorité de contrôle peut aussi établir et publier une liste des types d'opérations de traitement pour lesquelles aucune analyse d'impact relative à la protection des données n'est requise. L'autorité de contrôle communique cette liste au comité. 6.Avant d'adopter les listes visées aux paragraphes 4 et 5, l'autorité de contrôle compétente applique le mécanisme de contrôle de la cohérence visé à l'article 63, lorsque ces listes comprennent des activités de traitement liées à l'offre de biens ou de services à des personnes concernées ou au suivi de leur comportement dans plusieurs États membres, ou peuvent affecter sensiblement la libre circulation des données à caractère personnel au sein de l'Union. 4.5.2016 L 119/53 Journal officiel de l'Union européenne FR
7.L'analyse contient au moins: a) une description systématique des opérations de traitement envisagées et des finalités du traitement, y compris, le cas échéant, l'intérêt légitime poursuivi par le responsable du traitement; b) une évaluation de la nécessité et de la proportionnalité des opérations de traitement au regard des finalités; c) une évaluation des risques pour les droits et libertés des personnes concernées conformément au paragraphe 1; et d) les mesures envisagées pour faire face aux risques, y compris les garanties, mesures et mécanismes de sécurité visant à assurer la protection des données à caractère personnel et à apporter la preuve du respect du présent règlement, compte tenu des droits et des intérêts légitimes des personnes concernées et des autres personnes affectées. 8.Le respect, par les responsables du traitement ou sous-traitants concernés, de codes de conduite approuvés visés à l'article 40 est dûment pris en compte lors de l'évaluation de l'impact des opérations de traitement effectuées par lesdits responsables du traitement ou sous-traitants, en particulier aux fins d'une analyse d'impact relative à la protection des données. 9.Le cas échéant, le responsable du traitement demande l'avis des personnes concernées ou de leurs représentants au sujet du traitement prévu, sans préjudice de la protection des intérêts généraux ou commerciaux ou de la sécurité des opérations de traitement. 10.Lorsque le traitement effectué en application de l'article 6, paragraphe 1, point c) ou e), a une base juridique dans le droit de l'Union ou dans le droit de l'État membre auquel le responsable du traitement est soumis, que ce droit règlemente l'opération de traitement spécifique ou l'ensemble des opérations de traitement en question et qu'une analyse d'impact relative à la protection des données a déjà été effectuée dans le cadre d'une analyse d'impact générale réalisée dans le cadre de l'adoption de la base juridique en question, les paragraphes 1 à 7 ne s'appliquent pas, à moins que les États membres n'estiment qu'il est nécessaire d'effectuer une telle analyse avant les activités de traitement. 11.Si nécessaire, le responsable du traitement procède à un examen afin d'évaluer si le traitement est effectué conformément à l'analyse d'impact relative à la protection des données, au moins quand il se produit une modification du risque présenté par les opérations de traitement.</t>
  </si>
  <si>
    <t>Art. 36</t>
  </si>
  <si>
    <t>Consultation préalable 1.Le responsable du traitement consulte l'autorité de contrôle préalablement au traitement lorsqu'une analyse d'impact relative à la protection des données effectuée au titre de l'article 35 indique que le traitement présenterait un risque élevé si le responsable du traitement ne prenait pas de mesures pour atténuer le risque. 2.Lorsque l'autorité de contrôle est d'avis que le traitement envisagé visé au paragraphe 1, constituerait une violation du présent règlement, en particulier lorsque le responsable du traitement n'a pas suffisamment identifié ou atténué le risque, l'autorité de contrôle fournit par écrit, dans un délai maximum de huit semaines à compter de la réception de la demande de consultation, un avis écrit au responsable du traitement et, le cas échéant, au sous-traitant, et peut faire usage des pouvoirs visés à l'article 58. Ce délai peut être prolongé de six semaines, en fonction de la complexité du traitement envisagé. L'autorité de contrôle informe le responsable du traitement et, le cas échéant, le sous-traitant de la prolongation du délai ainsi que des motifs du retard, dans un délai d'un mois à compter de la réception de la demande de consultation. Ces délais peuvent être suspendus jusqu'à ce que l'autorité de contrôle ait obtenu les informations qu'elle a demandées pour les besoins de la consultation. 3.Lorsque le responsable du traitement consulte l'autorité de contrôle en application du paragraphe 1, il lui communique: a) le cas échéant, les responsabilités respectives du responsable du traitement, des responsables conjoints et des sous- traitants participant au traitement, en particulier pour le traitement au sein d'un groupe d'entreprises; b) les finalités et les moyens du traitement envisagé; c) les mesures et les garanties prévues afin de protéger les droits et libertés des personnes concernées en vertu du présent règlement; d) le cas échéant, les coordonnées du délégué à la protection des données; 4.5.2016 L 119/54 Journal officiel de l'Union européenne FR
e) l'analyse d'impact relative à la protection des données prévue à l'article 35; et f) toute autre information que l'autorité de contrôle demande. 4.Les États membres consultent l'autorité de contrôle dans le cadre de l'élaboration d'une proposition de mesure législative devant être adoptée par un parlement national, ou d'une mesure réglementaire fondée sur une telle mesure législative, qui se rapporte au traitement. 5.Nonobstant le paragraphe 1, le droit des États membres peut exiger que les responsables du traitement consultent l'autorité de contrôle et obtiennent son autorisation préalable en ce qui concerne le traitement effectué par un responsable du traitement dans le cadre d'une mission d'intérêt public exercée par celui-ci, y compris le traitement dans le cadre de la protection sociale et de la santé publique. Section</t>
  </si>
  <si>
    <t>Désignation du délégué à la protection des données 1.Le responsable du traitement et le sous-traitant désignent en tout état de cause un délégué à la protection des données lorsque: a) le traitement est effectué par une autorité publique ou un organisme public, à l'exception des juridictions agissant dans l'exercice de leur fonction juridictionnelle; b) les activités de base du responsable du traitement ou du sous-traitant consistent en des opérations de traitement qui, du fait de leur nature, de leur portée et/ou de leurs finalités, exigent un suivi régulier et systématique à grande échelle des personnes concernées; ou c) les activités de base du responsable du traitement ou du sous-traitant consistent en un traitement à grande échelle de catégories particulières de données visées à l'article 9 et de données à caractère personnel relatives à des condamnations pénales et à des infractions visées à l'article 10. 2.Un groupe d'entreprises peut désigner un seul délégué à la protection des données à condition qu'un délégué à la protection des données soit facilement joignable à partir de chaque lieu d'établissement. 3.Lorsque le responsable du traitement ou le sous-traitant est une autorité publique ou un organisme public, un seul délégué à la protection des données peut être désigné pour plusieurs autorités ou organismes de ce type, compte tenu de leur structure organisationnelle et de leur taille. 4.Dans les cas autres que ceux visés au paragraphe 1, le responsable du traitement ou le sous-traitant ou les associations et autres organismes représentant des catégories de responsables du traitement ou de sous-traitants peuvent désigner ou, si le droit de l'Union ou le droit d'un État membre l'exige, sont tenus de désigner un délégué à la protection des données. Le délégué à la protection des données peut agir pour ces associations et autres organismes représentant des responsables du traitement ou des sous-traitants. 5.Le délégué à la protection des données est désigné sur la base de ses qualités professionnelles et, en particulier, de ses connaissances spécialisées du droit et des pratiques en matière de protection des données, et de sa capacité à accomplir les missions visées à l'article 39. 6.Le délégué à la protection des données peut être un membre du personnel du responsable du traitement ou du sous-traitant, ou exercer ses missions sur la base d'un contrat de service. 7.Le responsable du traitement ou le sous-traitant publient les coordonnées du délégué à la protection des données et les communiquent à l'autorité de contrôle. Article</t>
  </si>
  <si>
    <t>Art.37</t>
  </si>
  <si>
    <t>Art. 38</t>
  </si>
  <si>
    <t>Fonction du délégué à la protection des données 1.Le responsable du traitement et le sous-traitant veillent à ce que le délégué à la protection des données soit associé, d'une manière appropriée et en temps utile, à toutes les questions relatives à la protection des données à caractère personnel. 4.5.2016 L 119/55 Journal officiel de l'Union européenne FR
2.Le responsable du traitement et le sous-traitant aident le délégué à la protection des données à exercer les missions visées à l'article 39 en fournissant les ressources nécessaires pour exercer ces missions, ainsi que l'accès aux données à caractère personnel et aux opérations de traitement, et lui permettant d'entretenir ses connaissances spécialisées. 3.Le responsable du traitement et le sous-traitant veillent à ce que le délégué à la protection des données ne reçoive aucune instruction en ce qui concerne l'exercice des missions. Le délégué à la protection des données ne peut être relevé de ses fonctions ou pénalisé par le responsable du traitement ou le sous-traitant pour l'exercice de ses missions. Le délégué à la protection des données fait directement rapport au niveau le plus élevé de la direction du responsable du traitement ou du sous-traitant. 4.Les personnes concernées peuvent prendre contact avec le délégué à la protection des données au sujet de toutes les questions relatives au traitement de leurs données à caractère personnel et à l'exercice des droits que leur confère le présent règlement. 5.Le délégué à la protection des données est soumis au secret professionnel ou à une obligation de confidentialité en ce qui concerne l'exercice de ses missions, conformément au droit de l'Union ou au droit des États membres. 6.Le délégué à la protection des données peut exécuter d'autres missions et tâches. Le responsable du traitement ou le sous-traitant veillent à ce que ces missions et tâches n'entraînent pas de conflit d'intérêts.</t>
  </si>
  <si>
    <t>Art. 40</t>
  </si>
  <si>
    <t>Codes de conduite 1.Les États membres, les autorités de contrôle, le comité et la Commission encouragent l'élaboration de codes de conduite destinés à contribuer à la bonne application du présent règlement, compte tenu de la spécificité des différents secteurs de traitement et des besoins spécifiques des micro, petites et moyennes entreprises. 2.Les associations et autres organismes représentant des catégories de responsables du traitement ou de sous-traitants peuvent élaborer des codes de conduite, les modifier ou les proroger, aux fins de préciser les modalités d'application du présent règlement, telles que: a) le traitement loyal et transparent; 4.5.2016 L 119/56 Journal officiel de l'Union européenne FR
b) les intérêts légitimes poursuivis par les responsables du traitement dans des contextes spécifiques; c) la collecte des données à caractère personnel; d) la pseudonymisation des données à caractère personnel; e) les informations communiquées au public et aux personnes concernées; f) l'exercice des droits des personnes concernées; g) les informations communiquées aux enfants et la protection dont bénéficient les enfants et la manière d'obtenir le consentement des titulaires de la responsabilité parentale à l'égard de l'enfant; h) les mesures et les procédures visées aux articles 24 et 25 et les mesures visant à assurer la sécurité du traitement visées à l'article 32; i) la notification aux autorités de contrôle des violations de données à caractère personnel et la communication de ces violations aux personnes concernées; j) le transfert de données à caractère personnel vers des pays tiers ou à des organisations internationales; ou k) les procédures extrajudiciaires et autres procédures de règlement des litiges permettant de résoudre les litiges entre les responsables du traitement et les personnes concernées en ce qui concerne le traitement, sans préjudice des droits des personnes concernées au titre des articles 77 et 79. 3.Outre leur application par les responsables du traitement ou les sous-traitants soumis au présent règlement, les codes de conduite qui sont approuvés en vertu du paragraphe 5 du présent article et qui sont d'application générale en vertu du paragraphe 9 du présent article peuvent aussi être appliqués par des responsables du traitement ou des sous- traitants qui ne sont pas soumis au présent règlement en vertu de l'article 3, afin de fournir des garanties appropriées dans le cadre des transferts de données à caractère personnel vers un pays tiers ou à une organisation internationale dans les conditions visées à l'article 46, paragraphe 2, point e). Ces responsables du traitement ou sous-traitants prennent l'engagement contraignant et doté de force obligatoire au moyen d'instruments contractuels ou d'autres instruments juridiquement contraignants, d'appliquer ces garanties appropriées, y compris en ce qui concerne les droits des personnes concernées. 4.Le code de conduite visé au paragraphe 2 du présent article comprend les mécanismes permettant à l'organisme visé à l'article 41, paragraphe 1, de procéder au contrôle obligatoire du respect de ses dispositions par les responsables du traitement ou les sous-traitants qui s'engagent à l'appliquer, sans préjudice des missions et des pouvoirs de l'autorité de contrôle qui est compétente en vertu de l'article 55 ou 56. 5.Les associations et autres organismes visés au paragraphe 2 du présent article qui ont l'intention d'élaborer un code de conduite ou de modifier ou proroger un code de conduite existant soumettent le projet de code, la modifications ou la prorogation à l'autorité de contrôle qui est compétente en vertu de l'article 55. L'autorité de contrôle rend un avis sur la question de savoir si le projet de code, la modification ou la prorogation respecte le présent règlement et approuve ce projet de code, cette modification ou cette prorogation si elle estime qu'il offre des garanties appropriées suffisantes. 6.Lorsque le projet de code, la modification ou la prorogation est approuvé conformément au paragraphe 5, et lorsque le code de conduite concerné ne porte pas sur des activités de traitement menées dans plusieurs États membres, l'autorité de contrôle enregistre et publie le code de conduite. 7.Lorsque le projet de code de conduite concerne des activités de traitement menées dans plusieurs États membres, l'autorité de contrôle qui est compétente en vertu de l'article 55 soumet le projet de code, la modification ou la prorogation, avant approbation, selon la procédure visée à l'article 63, au comité, qui rend un avis sur la question de savoir si le projet de code, la modification ou la prorogation respecte le présent règlement ou, dans la situation visée au paragraphe 3 du présent article, s'il offre des garanties appropriées. 8.Lorsque l'avis visé au paragraphe 7 confirme que le projet de code, la modification ou la prorogation respecte le présent règlement ou, dans la situation visée au paragraphe 3, offre des garanties appropriées, le comité soumet son avis à la Commission. 9.La Commission peut décider, par voie d'actes d'exécution, que le code de conduite, la modification ou la prorogation approuvés qui lui ont été soumis en vertu du paragraphe 8 du présent article sont d'application générale au sein de l'Union. Ces actes d'exécution sont adoptés en conformité avec la procédure d'examen visée à l'article 93, paragraphe 2. 4.5.2016 L 119/57 Journal officiel de l'Union européenne FR
10.La Commission veille à garantir une publicité appropriée aux codes approuvés dont elle a décidé qu'ils sont d'application générale conformément au paragraphe 9. 11.Le comité consigne dans un registre tous les codes de conduite, les modifications et les prorogations approuvés et les met à la disposition du public par tout moyen approprié.</t>
  </si>
  <si>
    <t>Art. 41</t>
  </si>
  <si>
    <t>Suivi des codes de conduite approuvés 1.Sans préjudice des missions et des pouvoirs de l'autorité de contrôle compétente au titre des articles 57 et 58, le contrôle du respect du code de conduite en vertu de l'article 40 peut être effectué par un organisme qui dispose d'un niveau d'expertise approprié au regard de l'objet du code et qui est agréé à cette fin par l'autorité de contrôle compétente. 2.Un organisme visé au paragraphe 1 peut être agréé pour contrôler le respect d'un code de conduite lorsque cet organisme a: a) démontré, à la satisfaction de l'autorité de contrôle compétente, son indépendance et son expertise au regard de l'objet du code; b) établi des procédures qui lui permettent d'apprécier si les responsables du traitement et les sous-traitants concernés satisfont aux conditions pour appliquer le code, de contrôler le respect de ses dispositions et d'examiner périodiquement son fonctionnement; c) établi des procédures et des structures pour traiter les réclamations relatives aux violations du code ou à la manière dont le code a été ou est appliqué par un responsable du traitement ou un sous-traitant, et pour rendre ces procédures et structures transparentes à l'égard des personnes concernées et du public; et d) démontré, à la satisfaction de l'autorité de contrôle compétente, que ses tâches et ses missions n'entraînent pas de conflit d'intérêts. 3.L'autorité de contrôle compétente soumet le projet de critères d'agrément d'un organisme visé au paragraphe 1 du présent article au comité en application du mécanisme de contrôle de la cohérence visé à l'article 63. 4.Sans préjudice des missions et des pouvoirs de l'autorité de contrôle compétente et des dispositions du chapitre VIII, un organisme visé au paragraphe 1 du présent article prend, sous réserve des garanties appropriées, des mesures appropriées en cas de violation du code par un responsable du traitement ou un sous-traitant, et peut notamment suspendre ou exclure le responsable du traitement ou le sous-traitant concerné de l'application du code. Il informe l'autorité de contrôle compétente de ces mesures et des raisons pour lesquelles elles ont été prises. 5.L'autorité de contrôle compétente révoque l'agrément d'un organisme visé au paragraphe 1 si les conditions d'agrément ne sont pas ou ne sont plus réunies ou si les mesures prises par l'organisme constituent une violation du présent règlement. 6.Le présent article ne s'applique pas au traitement effectué par les autorités publiques et les organismes publics</t>
  </si>
  <si>
    <t>Principe général applicable aux transferts Un transfert, vers un pays tiers ou à une organisation internationale, de données à caractère personnel qui font ou sont destinées à faire l'objet d'un traitement après ce transfert ne peut avoir lieu que si, sous réserve des autres dispositions du présent règlement, les conditions définies dans le présent chapitre sont respectées par le responsable du traitement et le sous-traitant, y compris pour les transferts ultérieurs de données à caractère personnel au départ du pays tiers ou de l'organisation internationale vers un autre pays tiers ou à une autre organisation internationale. Toutes les dispositions du présent chapitre sont appliquées de manière à ce que le niveau de protection des personnes physiques garanti par le présent règlement ne soit pas compromis. 4.5.2016 L 119/60 Journal officiel de l'Union européenne FR</t>
  </si>
  <si>
    <t>Transferts fondés sur une décision d'adéquation 1.Un transfert de données à caractère personnel vers un pays tiers ou à une organisation internationale peut avoir lieu lorsque la Commission a constaté par voie de décision que le pays tiers, un territoire ou un ou plusieurs secteurs déterminés dans ce pays tiers, ou l'organisation internationale en question assure un niveau de protection adéquat. Un tel transfert ne nécessite pas d'autorisation spécifique. 2.Lorsqu'elle évalue le caractère adéquat du niveau de protection, la Commission tient compte, en particulier, des éléments suivants: a) l'état de droit, le respect des droits de l'homme et des libertés fondamentales, la législation pertinente, tant générale que sectorielle, y compris en ce qui concerne la sécurité publique, la défense, la sécurité nationale et le droit pénal ainsi que l'accès des autorités publiques aux données à caractère personnel, de même que la mise en oeuvre de ladite législation, les règles en matière de protection des données, les règles professionnelles et les mesures de sécurité, y compris les règles relatives au transfert ultérieur de données à caractère personnel vers un autre pays tiers ou à une autre organisation internationale qui sont respectées dans le pays tiers ou par l'organisation internationale en question, la jurisprudence, ainsi que les droits effectifs et opposables dont bénéficient les personnes concernées et les recours administratifs et judiciaires que peuvent effectivement introduire les personnes concernées dont les données à caractère personnel sont transférées; b) l'existence et le fonctionnement effectif d'une ou de plusieurs autorités de contrôle indépendantes dans le pays tiers, ou auxquelles une organisation internationale est soumise, chargées d'assurer le respect des règles en matière de protection des données et de les faire appliquer, y compris par des pouvoirs appropriés d'application desdites règles, d'assister et de conseiller les personnes concernées dans l'exercice de leurs droits et de coopérer avec les autorités de contrôle des États membres; et c) les engagements internationaux pris par le pays tiers ou l'organisation internationale en question, ou d'autres obligations découlant de conventions ou d'instruments juridiquement contraignants ainsi que de sa participation à des systèmes multilatéraux ou régionaux, en particulier en ce qui concerne la protection des données à caractère personnel. 3.La Commission, après avoir évalué le caractère adéquat du niveau de protection, peut décider, par voie d'actes d'exécution, qu'un pays tiers, un territoire ou un ou plusieurs secteurs déterminés dans un pays tiers, ou une organisation internationale, assure un niveau de protection adéquat au sens du paragraphe 2 du présent article. L'acte d'exécution prévoit un mécanisme d'examen périodique, au moins tous les quatre ans, qui prend en compte toutes les évolutions pertinentes dans le pays tiers ou au sein de l'organisation internationale. L'acte d'exécution précise son champ d'application territorial et sectoriel et, le cas échéant, nomme la ou des autorités de contrôle visées au paragraphe 2, point b), du présent article. L'acte d'exécution est adopté en conformité avec la procédure d'examen visée à l'article 93, paragraphe 2. 4.La Commission suit, de manière permanente, les évolutions dans les pays tiers et au sein des organisations internationales qui pourraient porter atteinte au fonctionnement des décisions adoptées en vertu du paragraphe 3 du présent article et des décisions adoptées sur la base de l'article 25, paragraphe 6, de la directive 95/46/CE. 5.Lorsque les informations disponibles révèlent, en particulier à l'issue de l'examen visé au paragraphe 3 du présent article, qu'un pays tiers, un territoire ou un ou plusieurs secteurs déterminés dans un pays tiers, ou une organisation internationale n'assure plus un niveau de protection adéquat au sens du paragraphe 2 du présent article, la Commission si nécessaire, abroge, modifie ou suspend la décision visée au paragraphe 3 du présent article par voie d'actes d'exécution sans effet rétroactif. Ces actes d'exécution sont adoptés en conformité avec la procédure d'examen visée à l'article 93, paragraphe 2. Pour des raisons d'urgence impérieuses dûment justifiées, la Commission adopte des actes d'exécution immédiatement applicables en conformité avec la procédure visée à l'article 93, paragraphe 3. 6.La Commission engage des consultations avec le pays tiers ou l'organisation internationale en vue de remédier à la situation donnant lieu à la décision adoptée en vertu du paragraphe 5. 7.Une décision adoptée en vertu du paragraphe 5 du présent article est sans préjudice des transferts de données à caractère personnel vers le pays tiers, un territoire ou un ou plusieurs secteurs déterminés dans ce pays tiers, ou à l'organisation internationale en question, effectués en application des articles 46 à 49. 8.La Commission publie au Journal officiel de l'Union européenne et sur son site internet une liste des pays tiers, des territoires et des secteurs déterminés dans un pays tiers et des organisations internationales pour lesquels elle a constaté par voie de décision qu'un niveau de protection adéquat est ou n'est plus assuré. 4.5.2016 L 119/61 Journal officiel de l'Union européenne FR
9.Les décisions adoptées par la Commission sur la base de l'article 25, paragraphe 6, de la directive 95/46/CE demeurent en vigueur jusqu'à leur modification, leur remplacement ou leur abrogation par une décision de la Commission adoptée conformément au paragraphe 3 ou 5 du présent article.</t>
  </si>
  <si>
    <t>Transferts moyennant des garanties appropriées 1.En l'absence de décision en vertu de l'article 45, paragraphe 3, le responsable du traitement ou le sous-traitant ne peut transférer des données à caractère personnel vers un pays tiers ou à une organisation internationale que s'il a prévu des garanties appropriées et à la condition que les personnes concernées disposent de droits opposables et de voies de droit effectives. 2.Les garanties appropriées visées au paragraphe 1 peuvent être fournies, sans que cela ne nécessite une autorisation particulière d'une autorité de contrôle, par: a) un instrument juridiquement contraignant et exécutoire entre les autorités ou organismes publics; b) des règles d'entreprise contraignantes conformément à l'article 47; c) des clauses types de protection des données adoptées par la Commission en conformité avec la procédure d'examen visée à l'article 93, paragraphe 2; d) des clauses types de protection des données adoptées par une autorité de contrôle et approuvées par la Commission en conformité avec la procédure d'examen visée à l'article 93, paragraphe 2; e) un code de conduite approuvé conformément à l'article 40, assorti de l'engagement contraignant et exécutoire pris par le responsable du traitement ou le sous-traitant dans le pays tiers d'appliquer les garanties appropriées, y compris en ce qui concerne les droits des personnes concernées; ou f) un mécanisme de certification approuvé conformément à l'article 42, assorti de l'engagement contraignant et exécutoire pris par le responsable du traitement ou le sous-traitant dans le pays tiers d'appliquer les garanties appropriées, y compris en ce qui concerne les droits des personnes concernées. 3.Sous réserve de l'autorisation de l'autorité de contrôle compétente, les garanties appropriées visées au paragraphe 1 peuvent aussi être fournies, notamment, par: a) des clauses contractuelles entre le responsable du traitement ou le sous-traitant et le responsable du traitement, le sous-traitant ou le destinataire des données à caractère personnel dans le pays tiers ou l'organisation internationale; ou b) des dispositions à intégrer dans des arrangements administratifs entre les autorités publiques ou les organismes publics qui prévoient des droits opposables et effectifs pour les personnes concernées. 4.L'autorité de contrôle applique le mécanisme de contrôle de la cohérence visé à l'article 63 dans les cas visés au paragraphe 3 du présent article. 5.Les autorisations accordées par un État membre ou une autorité de contrôle sur le fondement de l'article 26, paragraphe 2, de la directive 95/46/CE demeurent valables jusqu'à leur modification, leur remplacement ou leur abrogation, si nécessaire, par ladite autorité de contrôle. Les décisions adoptées par la Commission sur le fondement de l'article 26, paragraphe 4, de la directive 95/46/CE demeurent en vigueur jusqu'à leur modification, leur remplacement ou leur abrogation, si nécessaire, par une décision de la Commission adoptée conformément au paragraphe 2 du présent article.</t>
  </si>
  <si>
    <t>Art. 49</t>
  </si>
  <si>
    <t>Art. 50</t>
  </si>
  <si>
    <t>Règles d'entreprise contraignantes 1.L'autorité de contrôle compétente approuve des règles d'entreprise contraignantes conformément au mécanisme de contrôle de la cohérence prévu à l'article 63, à condition que: a) ces règles soient juridiquement contraignantes, et soient mises en application par toutes les entités concernées du groupe d'entreprises ou du groupe d'entreprises engagées dans une activité économique conjointe, y compris leurs employés; 4.5.2016 L 119/62 Journal officiel de l'Union européenne FR
b) elles confèrent expressément aux personnes concernées des droits opposables en ce qui concerne le traitement de leurs données à caractère personnel; et c) elles répondent aux exigences prévues au paragraphe 2. 2.Les règles d'entreprise contraignantes visées au paragraphe 1 précisent au moins: a) la structure et les coordonnées du groupe d'entreprises ou du groupe d'entreprises engagées dans une activité économique conjointe et de chacune de leurs entités; b) les transferts ou l'ensemble des transferts de données, y compris les catégories de données à caractère personnel, le type de traitement et ses finalités, le type de personnes concernées affectées et le nom du ou des pays tiers en question; c) leur nature juridiquement contraignante, tant interne qu'externe; d) l'application des principes généraux relatifs à la protection des données, notamment la limitation de la finalité, la minimisation des données, la limitation des durées de conservation des données, la qualité des données, la protection des données dès la conception et la protection des données par défaut, la base juridique du traitement, le traitement de catégories particulières de données à caractère personnel, les mesures visant à garantir la sécurité des données, ainsi que les exigences en matière de transferts ultérieurs à des organismes qui ne sont pas liés par les règles d'entreprise contraignantes; e) les droits des personnes concernées à l'égard du traitement et les moyens d'exercer ces droits y compris le droit de ne pas faire l'objet de décisions fondées exclusivement sur un traitement automatisé, y compris le profilage, conformément à l'article 22, le droit d'introduire une réclamation auprès de l'autorité de contrôle compétente et devant les juridictions compétentes des États membres conformément à l'article 79 et d'obtenir réparation et, le cas échéant, une indemnisation pour violation des règles d'entreprise contraignantes; f) l'acceptation, par le responsable du traitement ou le sous-traitant établi sur le territoire d'un État membre, de l'engagement de sa responsabilité pour toute violation des règles d'entreprise contraignantes par toute entité concernée non établie dans l'Union; le responsable du traitement ou le sous-traitant ne peut être exonéré, en tout ou en partie, de cette responsabilité que s'il prouve que le fait générateur du dommage n'est pas imputable à l'entité en cause; g) la manière dont les informations sur les règles d'entreprise contraignantes, notamment en ce qui concerne les éléments mentionnés aux points d), e) et f) du présent paragraphe sont fournies aux personnes concernées, en sus des informations visées aux articles 13 et 14; h) les missions de tout délégué à la protection des données, désigné conformément à l'article 37, ou de toute autre personne ou entité chargée de la surveillance du respect des règles d'entreprise contraignantes au sein du groupe d'entreprises, ou du groupe d'entreprises engagées dans une activité économique conjointe, ainsi que le suivi de la formation et le traitement des réclamations; i) les procédures de réclamation; j) les mécanismes mis en place au sein du groupe d'entreprises, ou du groupe d'entreprises engagées dans une activité économique conjointe pour garantir que le contrôle du respect des règles d'entreprise contraignantes. Ces mécanismes prévoient des audits sur la protection des données et des méthodes assurant que des mesures correctrices seront prises pour protéger les droits de la personne concernée. Les résultats de ce contrôle devraient être communiqués à la personne ou à l'entité visée au point h) et au conseil d'administration de l'entreprise qui exerce le contrôle du groupe d'entreprises, ou du groupe d'entreprises engagées dans une activité économique conjointe, et devraient être mis à la disposition de l'autorité de contrôle compétente sur demande; k) les mécanismes mis en place pour communiquer et consigner les modifications apportées aux règles et pour communiquer ces modifications à l'autorité de contrôle; l) le mécanisme de coopération avec l'autorité de contrôle mis en place pour assurer le respect des règles par toutes les entités du groupe d'entreprises, ou du groupe d'entreprises engagées dans une activité économique conjointe, notamment en mettant à la disposition de l'autorité de contrôle les résultats des contrôles des mesures visés au point j); m) les mécanismes permettant de communiquer à l'autorité de contrôle compétente toutes les obligations juridiques auxquelles une entité du groupe d'entreprises, ou du groupe d'entreprises engagées dans une activité économique conjointe, est soumise dans un pays tiers qui sont susceptibles d'avoir un effet négatif important sur les garanties fournies par les règles d'entreprise contraignantes; et n) la formation appropriée en matière de protection des données pour le personnel ayant un accès permanent ou régulier aux données à caractère personnel. 4.5.2016 L 119/63 Journal officiel de l'Union européenne FR
3.La Commission peut, pour les règles d'entreprise contraignantes au sens du présent article, préciser la forme de l'échange d'informations entre les responsables du traitement, les sous-traitants et les autorités de contrôle, ainsi que les procédures qui s'y rapportent. Ces actes d'exécution sont adoptés en conformité avec la procédure d'examen visée à l'article 93, paragraphe 2.</t>
  </si>
  <si>
    <t>Transferts ou divulgations non autorisés par le droit de l'Union Toute décision d'une juridiction ou d'une autorité administrative d'un pays tiers exigeant d'un responsable du traitement ou d'un sous-traitant qu'il transfère ou divulgue des données à caractère personnel ne peut être reconnue ou rendue exécutoire de quelque manière que ce soit qu'à la condition qu'elle soit fondée sur un accord international, tel qu'un traité d'entraide judiciaire, en vigueur entre le pays tiers demandeur et l'Union ou un État membre, sans préjudice d'autres motifs de transfert en vertu du présent chapitre.</t>
  </si>
  <si>
    <t>Dérogations pour des situations particulières 1.En l'absence de décision d'adéquation en vertu de l'article 45, paragraphe 3, ou de garanties appropriées en vertu de l'article 46, y compris des règles d'entreprise contraignantes, un transfert ou un ensemble de transferts de données à caractère personnel vers un pays tiers ou à une organisation internationale ne peut avoir lieu qu'à l'une des conditions suivantes: a) la personne concernée a donné son consentement explicite au transfert envisagé, après avoir été informée des risques que ce transfert pouvait comporter pour elle en raison de l'absence de décision d'adéquation et de garanties appropriées; b) le transfert est nécessaire à l'exécution d'un contrat entre la personne concernée et le responsable du traitement ou à la mise en oeuvre de mesures précontractuelles prises à la demande de la personne concernée; c) le transfert est nécessaire à la conclusion ou à l'exécution d'un contrat conclu dans l'intérêt de la personne concernée entre le responsable du traitement et une autre personne physique ou morale; d) le transfert est nécessaire pour des motifs importants d'intérêt public; e) le transfert est nécessaire à la constatation, à l'exercice ou à la défense de droits en justice; f) le transfert est nécessaire à la sauvegarde des intérêts vitaux de la personne concernée ou d'autres personnes, lorsque la personne concernée se trouve dans l'incapacité physique ou juridique de donner son consentement; g) le transfert a lieu au départ d'un registre qui, conformément au droit de l'Union ou au droit d'un État membre, est destiné à fournir des 'informations au public et est ouvert à la consultation du public en général ou de toute personne justifiant d'un intérêt légitime, mais uniquement dans la mesure où les conditions prévues pour la consultation dans le droit de l'Union ou le droit de l'État membre sont remplies dans le cas d'espèce. Lorsqu'un transfert ne peut pas être fondé sur une disposition de l'article 45 ou 46, y compris les dispositions relatives aux règles d'entreprise contraignantes, et qu'aucune des dérogations pour des situations particulières visées au premier alinéa du présent paragraphe n'est applicable, un transfert vers un pays tiers ou à une organisation internationale ne peut avoir lieu que si ce transfert ne revêt pas de caractère répétitif, ne touche qu'un nombre limité de personnes concernées, est nécessaire aux fins des intérêts légitimes impérieux poursuivis par le responsable du traitement sur lesquels ne prévalent pas les intérêts ou les droits et libertés de la personne concernée, et si le responsable du traitement a évalué toutes les circonstances entourant le transfert de données et a offert, sur la base de cette évaluation, des garanties appropriées en ce qui concerne la protection des données à caractère personnel. Le responsable du traitement informe l'autorité de contrôle du transfert. Outre qu'il fournit les informations visées aux articles 13 et 14, le responsable du traitement informe la personne concernée du transfert et des intérêts légitimes impérieux qu'il poursuit. 2.Un transfert effectué en vertu du paragraphe 1, premier alinéa, point g), ne porte pas sur la totalité des données à caractère personnel ni sur des catégories entières de données à caractère personnel contenues dans le registre. Lorsque le registre est destiné à être consulté par des personnes justifiant d'un intérêt légitime, le transfert n'est effectué qu'à la demande de ces personnes ou lorsqu'elles en sont les destinataires. 4.5.2016 L 119/64 Journal officiel de l'Union européenne FR
3.Les points a), b), et c) du premier alinéa du paragraphe 1 et le deuxième alinéa du paragraphe 1 ne sont pas applicables aux activités des autorités publiques dans l'exercice de leurs prérogatives de puissance publique. 4.L'intérêt public visé au paragraphe 1, premier alinéa, point d), est reconnu par le droit de l'Union ou le droit de l'État membre auquel le responsable du traitement est soumis. 5.En l'absence de décision d'adéquation, le droit de l'Union ou le droit d'un État membre peut, pour des motifs importants d'intérêt public, fixer expressément des limites au transfert de catégories spécifiques de données à caractère personnel vers un pays tiers ou à une organisation internationale. Les États membres notifient de telles dispositions à la Commission. 6.Le responsable du traitement ou le sous-traitant documente, dans les registres visés à l'article 30, l'évaluation ainsi que les garanties appropriées visées au paragraphe 1, deuxième alinéa, du présent article.</t>
  </si>
  <si>
    <t>Coopération internationale dans le domaine de la protection des données à caractère personnel La Commission et les autorités de contrôle prennent, à l'égard des pays tiers et des organisations internationales, les mesures appropriées pour: a) élaborer des mécanismes de coopération internationale destinés à faciliter l'application effective de la législation relative à la protection des données à caractère personnel; b) se prêter mutuellement assistance sur le plan international dans l'application de la législation relative à la protection des données à caractère personnel, y compris par la notification, la transmission des réclamations, l'entraide pour les enquêtes et l'échange d'informations, sous réserve de garanties appropriées pour la protection des données à caractère personnel et d'autres libertés et droits fondamentaux; c) associer les parties prenantes intéressées aux discussions et activités visant à développer la coopération internationale dans le domaine de l'application de la législation relative à la protection des données à caractère personnel; d) favoriser l'échange et la documentation de la législation et des pratiques en matière de protection des données à caractère personnel, y compris en ce qui concerne les conflits de compétence avec des pays tiers</t>
  </si>
  <si>
    <t>Principes relatifs au traitement des données personnelles : Les données doivent être : licites, loyales, transparentes, collectées pour des finalités déterminées, exactes, pertinentes et limitées à ce qui est nécessaire, conservées de manière identifiable pendant une durée limitée, sécurisées et traitées de manière responsable. Les droits de la personne concernée doivent être garantis.</t>
  </si>
  <si>
    <t>Licéité du traitement : Le traitement est licite seulement si certaines conditions sont respectées : consentement, contrat, obligation légale, protection des intérêts vitaux, mission d’intérêt public ou intérêts légitimes. Les États membres peuvent adapter les règles pour certaines situations spécifiques.</t>
  </si>
  <si>
    <t>Conditions du consentement : Le consentement doit être libre, spécifique, éclairé et univoque. La personne peut retirer son consentement à tout moment sans affecter la licéité du traitement effectué avant ce retrait. Le consentement doit être simple à donner et à retirer.</t>
  </si>
  <si>
    <t>Traitement de données sensibles : Les données sensibles (origine raciale, opinions politiques, santé, orientation sexuelle, etc.) sont interdites sauf exceptions strictes : consentement explicite, obligations légales, protection des intérêts vitaux, missions d’intérêt public, droits et intérêts fondamentaux garantis, incapacité de donner son consentement.</t>
  </si>
  <si>
    <t>Données relatives aux condamnations pénales : Le traitement de ces données est strictement contrôlé et doit se faire sous l’autorité publique ou selon des garanties appropriées pour les droits et libertés des personnes concernées.</t>
  </si>
  <si>
    <t>Transparence et exercice des droits : Le responsable doit fournir des informations claires, compréhensibles et accessibles, y compris pour les enfants. Il doit faciliter l’exercice des droits des personnes et répondre aux demandes dans un délai d’un mois, prolongeable de deux mois si nécessaire. Les informations sont gratuites, sauf pour les demandes manifestement excessives. Le responsable peut demander des informations supplémentaires pour vérifier l’identité. Des icônes normalisées peuvent être utilisées pour résumer le traitement.</t>
  </si>
  <si>
    <t>Informations lors de la collecte auprès de la personne : Lorsque les données sont collectées directement auprès de la personne, le responsable doit fournir son identité, ses coordonnées, les finalités et la base juridique du traitement, les destinataires, les transferts internationaux, la durée de conservation, les droits de la personne et toute prise de décision automatisée ou profilage. Toute nouvelle finalité doit être communiquée avant le traitement. Ces obligations ne s’appliquent pas si la personne possède déjà ces informations.</t>
  </si>
  <si>
    <t>Informations lorsque les données ne proviennent pas de la personne : Lorsque les données ne sont pas collectées directement auprès de la personne, le responsable doit informer de son identité, de ses coordonnées, des finalités, de la base juridique, des catégories de données, des destinataires, des transferts internationaux, de la durée de conservation, des droits, de la source des données et de tout profilage. Les informations doivent être fournies dans un délai raisonnable, au plus tard lors de la première communication. Des exceptions existent si les informations sont déjà connues, si leur fourniture est impossible ou disproportionnée, si les données sont confidentielles ou si la loi prévoit des mesures spécifiques.</t>
  </si>
  <si>
    <t>Droit d’accès : La personne peut obtenir la confirmation que ses données sont traitées et accéder aux informations concernant les finalités, catégories, destinataires, durée, droits, source et profilage. Si les données sont transférées vers un pays tiers, les garanties associées doivent être précisées. Une copie des données peut être fournie, avec frais possibles pour les copies supplémentaires.</t>
  </si>
  <si>
    <t>– Droit de rectification : La personne peut obtenir la correction des données inexactes et la complétion des données incomplètes, y compris via une déclaration complémentaire.</t>
  </si>
  <si>
    <t>Droit à l’effacement («droit à l’oubli») : La personne peut demander l’effacement des données si elles ne sont plus nécessaires, si le consentement est retiré sans autre base légale, si elle s’oppose au traitement sans motif légitime, si les données ont été traitées illégalement, si la loi l’exige, ou si les données concernent des services pour enfants. Le responsable doit informer d’autres responsables pour supprimer liens, copies ou reproductions si les données ont été publiées. Des exceptions existent pour la liberté d’expression, les obligations légales, les missions d’intérêt public, la santé publique, l’archivage, la recherche, les statistiques ou la défense de droits en justice.</t>
  </si>
  <si>
    <t>Droit à la limitation du traitement : La personne peut demander la limitation du traitement lorsque les données sont contestées, traitées illégalement, non nécessaires pour le responsable mais utiles pour la personne, ou si elle s’est opposée au traitement en attente d’une vérification. Les données limitées ne peuvent être utilisées qu’avec le consentement, pour exercer des droits, protéger autrui ou pour des motifs d’intérêt public. La personne doit être informée avant que la limitation soit levée.</t>
  </si>
  <si>
    <t>Notification des rectifications, effacements ou limitations : Le responsable doit informer chaque destinataire des données des rectifications, effacements ou limitations, sauf si cela est impossible ou disproportionné. La personne peut demander la liste des destinataires</t>
  </si>
  <si>
    <t>Droit à la portabilité des données : La personne peut recevoir ses données fournies au responsable dans un format structuré et lisible par machine et les transmettre à un autre responsable sans obstacle. Ce droit s’applique si le traitement est basé sur le consentement ou un contrat et utilise des procédés automatisés. La transmission directe entre responsables est possible lorsque techniquement faisable. Ce droit ne porte pas atteinte à l’article 17 ni aux missions d’intérêt public et aux droits d’autrui.</t>
  </si>
  <si>
    <t>Décision automatisée et profilage : La personne a le droit de ne pas être soumise à une décision basée uniquement sur un traitement automatisé produisant des effets juridiques ou significatifs. Les exceptions sont si la décision est nécessaire pour un contrat, autorisée par la loi avec protections adéquates, ou basée sur le consentement explicite. Dans ces cas, des mesures doivent permettre l’intervention humaine, l’expression du point de vue de la personne et la contestation de la décision. Les catégories particulières de données (article 9) sont protégées par des mesures appropriées.</t>
  </si>
  <si>
    <t>Responsabilité du responsable du traitement : Le responsable doit mettre en œuvre des mesures techniques et organisationnelles appropriées pour garantir et démontrer que le traitement respecte le RGPD. Ces mesures sont réexaminées et actualisées si nécessaire et peuvent inclure des politiques internes, codes de conduite ou mécanismes de certification pour prouver la conformité.</t>
  </si>
  <si>
    <t>Protection des données dès la conception et par défaut : Le responsable doit intégrer des mesures techniques et organisationnelles dès la conception et le traitement, telles que la pseudonymisation, pour respecter les principes de protection des données et minimiser les risques. Par défaut, seules les données nécessaires sont traitées, limitées en quantité, durée et accessibilité. Des mécanismes de certification peuvent démontrer la conformité.</t>
  </si>
  <si>
    <t>Responsables conjoints du traitement : Lorsque plusieurs responsables déterminent conjointement finalités et moyens du traitement, ils sont conjointement responsables. Ils doivent définir leurs obligations respectives, notamment sur l’exercice des droits et la communication des informations, et rendre accessibles les grandes lignes de leur accord. La personne concernée peut exercer ses droits à l’égard de chacun des responsables, indépendamment de l’accord.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</si>
</sst>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11"/>
      <name val="Calibri"/>
      <family val="2"/>
      <scheme val="minor"/>
    </font>
    <font>
      <b/>
      <sz val="11"/>
      <color theme="0"/>
      <name val="Calibri"/>
      <family val="2"/>
      <scheme val="minor"/>
    </font>
    <font>
      <sz val="8"/>
      <name val="Calibri"/>
      <family val="2"/>
      <scheme val="minor"/>
    </font>
    <font>
      <b/>
      <sz val="11"/>
      <name val="Calibri"/>
      <family val="2"/>
      <scheme val="minor"/>
    </font>
    <font>
      <sz val="11"/>
      <name val="Times New Roman"/>
      <family val="1"/>
    </font>
    <font>
      <b/>
      <sz val="18"/>
      <name val="Calibri"/>
      <family val="2"/>
      <scheme val="minor"/>
    </font>
    <font>
      <b/>
      <sz val="20"/>
      <name val="Calibri"/>
      <family val="2"/>
      <scheme val="minor"/>
    </font>
    <font>
      <sz val="12"/>
      <name val="Calibri"/>
      <family val="2"/>
      <scheme val="minor"/>
    </font>
    <font>
      <sz val="12"/>
      <name val="Times New Roman"/>
      <family val="1"/>
    </font>
    <font>
      <b/>
      <sz val="12"/>
      <name val="Times New Roman"/>
      <family val="1"/>
    </font>
    <font>
      <b/>
      <sz val="12"/>
      <name val="Calibri"/>
      <family val="2"/>
      <scheme val="minor"/>
    </font>
    <font>
      <sz val="11"/>
      <color theme="0"/>
      <name val="Calibri"/>
      <family val="2"/>
      <scheme val="minor"/>
    </font>
    <font>
      <sz val="8"/>
      <color theme="0"/>
      <name val="Calibri"/>
      <family val="2"/>
      <scheme val="minor"/>
    </font>
    <font>
      <b/>
      <sz val="8"/>
      <color theme="0"/>
      <name val="Calibri"/>
      <family val="2"/>
      <scheme val="minor"/>
    </font>
    <font>
      <b/>
      <sz val="20"/>
      <color theme="0"/>
      <name val="Times New Roman"/>
      <family val="1"/>
    </font>
    <font>
      <b/>
      <sz val="25"/>
      <color theme="0"/>
      <name val="Calibri"/>
      <family val="2"/>
      <scheme val="minor"/>
    </font>
    <font>
      <sz val="25"/>
      <color theme="1"/>
      <name val="Calibri"/>
      <family val="2"/>
      <scheme val="minor"/>
    </font>
    <font>
      <b/>
      <sz val="25"/>
      <color theme="1"/>
      <name val="Calibri"/>
      <family val="2"/>
      <scheme val="minor"/>
    </font>
    <font>
      <sz val="18"/>
      <name val="Calibri"/>
      <family val="2"/>
      <scheme val="minor"/>
    </font>
    <font>
      <b/>
      <sz val="18"/>
      <name val="Arial"/>
      <family val="2"/>
    </font>
    <font>
      <sz val="12"/>
      <color theme="0"/>
      <name val="Calibri"/>
      <family val="2"/>
      <scheme val="minor"/>
    </font>
    <font>
      <b/>
      <sz val="18"/>
      <name val="Times New Roman"/>
      <family val="1"/>
    </font>
    <font>
      <b/>
      <sz val="11"/>
      <name val="Times New Roman"/>
      <family val="1"/>
    </font>
    <font>
      <u/>
      <sz val="11"/>
      <color theme="10"/>
      <name val="Calibri"/>
      <family val="2"/>
      <scheme val="minor"/>
    </font>
    <font>
      <b/>
      <sz val="12"/>
      <color theme="0"/>
      <name val="Calibri"/>
      <family val="2"/>
      <scheme val="minor"/>
    </font>
    <font>
      <b/>
      <sz val="11"/>
      <color theme="4" tint="0.39997558519241921"/>
      <name val="Calibri"/>
      <family val="2"/>
      <scheme val="minor"/>
    </font>
    <font>
      <sz val="12"/>
      <color theme="4" tint="0.39997558519241921"/>
      <name val="Times New Roman"/>
      <family val="1"/>
    </font>
  </fonts>
  <fills count="22">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indexed="64"/>
      </patternFill>
    </fill>
    <fill>
      <patternFill patternType="solid">
        <fgColor theme="0"/>
        <bgColor theme="4" tint="0.79998168889431442"/>
      </patternFill>
    </fill>
    <fill>
      <patternFill patternType="solid">
        <fgColor theme="4"/>
        <bgColor indexed="64"/>
      </patternFill>
    </fill>
    <fill>
      <patternFill patternType="solid">
        <fgColor theme="0"/>
        <bgColor theme="4"/>
      </patternFill>
    </fill>
    <fill>
      <patternFill patternType="solid">
        <fgColor theme="4" tint="0.39997558519241921"/>
        <bgColor theme="4" tint="0.79998168889431442"/>
      </patternFill>
    </fill>
    <fill>
      <patternFill patternType="solid">
        <fgColor theme="4" tint="0.39997558519241921"/>
        <bgColor indexed="64"/>
      </patternFill>
    </fill>
    <fill>
      <patternFill patternType="solid">
        <fgColor theme="4" tint="0.39997558519241921"/>
        <bgColor theme="4"/>
      </patternFill>
    </fill>
    <fill>
      <patternFill patternType="solid">
        <fgColor rgb="FFFF0000"/>
        <bgColor theme="4" tint="0.79998168889431442"/>
      </patternFill>
    </fill>
    <fill>
      <patternFill patternType="solid">
        <fgColor rgb="FFFFFF00"/>
        <bgColor theme="4" tint="0.79998168889431442"/>
      </patternFill>
    </fill>
    <fill>
      <patternFill patternType="solid">
        <fgColor rgb="FFFFFF00"/>
        <bgColor indexed="64"/>
      </patternFill>
    </fill>
    <fill>
      <patternFill patternType="solid">
        <fgColor theme="5" tint="0.59999389629810485"/>
        <bgColor indexed="64"/>
      </patternFill>
    </fill>
    <fill>
      <patternFill patternType="solid">
        <fgColor theme="5" tint="0.59999389629810485"/>
        <bgColor theme="4" tint="0.79998168889431442"/>
      </patternFill>
    </fill>
    <fill>
      <patternFill patternType="solid">
        <fgColor theme="4" tint="0.59999389629810485"/>
        <bgColor theme="4" tint="0.79998168889431442"/>
      </patternFill>
    </fill>
    <fill>
      <patternFill patternType="solid">
        <fgColor theme="5" tint="0.39997558519241921"/>
        <bgColor indexed="64"/>
      </patternFill>
    </fill>
    <fill>
      <patternFill patternType="solid">
        <fgColor rgb="FFC00000"/>
        <bgColor indexed="64"/>
      </patternFill>
    </fill>
    <fill>
      <patternFill patternType="solid">
        <fgColor theme="4" tint="0.79998168889431442"/>
        <bgColor theme="4"/>
      </patternFill>
    </fill>
    <fill>
      <patternFill patternType="solid">
        <fgColor theme="4" tint="-0.499984740745262"/>
        <bgColor theme="4" tint="0.79998168889431442"/>
      </patternFill>
    </fill>
  </fills>
  <borders count="17">
    <border>
      <left/>
      <right/>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25" fillId="0" borderId="0" applyNumberFormat="0" applyFill="0" applyBorder="0" applyAlignment="0" applyProtection="0"/>
  </cellStyleXfs>
  <cellXfs count="15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xf>
    <xf numFmtId="0" fontId="2" fillId="0" borderId="0" xfId="0" applyFont="1"/>
    <xf numFmtId="0" fontId="0" fillId="5" borderId="0" xfId="0" applyFill="1"/>
    <xf numFmtId="0" fontId="2" fillId="3" borderId="3" xfId="0" applyFont="1" applyFill="1" applyBorder="1" applyAlignment="1">
      <alignment vertical="center"/>
    </xf>
    <xf numFmtId="0" fontId="2" fillId="0" borderId="3" xfId="0" applyFont="1" applyBorder="1" applyAlignment="1">
      <alignment vertical="center" wrapText="1"/>
    </xf>
    <xf numFmtId="0" fontId="2" fillId="0" borderId="3" xfId="0" applyFont="1" applyBorder="1" applyAlignment="1">
      <alignment vertical="center"/>
    </xf>
    <xf numFmtId="0" fontId="2" fillId="6" borderId="3" xfId="0" applyFont="1" applyFill="1" applyBorder="1" applyAlignment="1">
      <alignment vertical="center"/>
    </xf>
    <xf numFmtId="0" fontId="9" fillId="0" borderId="3" xfId="0" applyFont="1" applyBorder="1" applyAlignment="1">
      <alignment vertical="center" wrapText="1"/>
    </xf>
    <xf numFmtId="0" fontId="1" fillId="5" borderId="0" xfId="0" applyFont="1" applyFill="1" applyAlignment="1">
      <alignment horizontal="center" vertical="center" wrapText="1"/>
    </xf>
    <xf numFmtId="0" fontId="1" fillId="5" borderId="0" xfId="0" applyFont="1" applyFill="1" applyAlignment="1">
      <alignment vertical="center" wrapText="1"/>
    </xf>
    <xf numFmtId="0" fontId="0" fillId="5" borderId="0" xfId="0" applyFill="1" applyAlignment="1">
      <alignment vertical="center" wrapText="1"/>
    </xf>
    <xf numFmtId="0" fontId="6" fillId="0" borderId="3" xfId="0" applyFont="1" applyBorder="1" applyAlignment="1">
      <alignment vertical="center" wrapText="1"/>
    </xf>
    <xf numFmtId="0" fontId="6" fillId="0" borderId="3" xfId="0" applyFont="1" applyBorder="1" applyAlignment="1">
      <alignment vertical="center"/>
    </xf>
    <xf numFmtId="0" fontId="10" fillId="0" borderId="3" xfId="0" applyFont="1" applyBorder="1" applyAlignment="1">
      <alignment vertical="center" wrapText="1"/>
    </xf>
    <xf numFmtId="0" fontId="9" fillId="0" borderId="3" xfId="0" applyFont="1" applyBorder="1" applyAlignment="1">
      <alignment vertical="center"/>
    </xf>
    <xf numFmtId="0" fontId="9" fillId="5" borderId="3" xfId="0" applyFont="1" applyFill="1" applyBorder="1" applyAlignment="1">
      <alignment vertical="center" wrapText="1"/>
    </xf>
    <xf numFmtId="0" fontId="2" fillId="5" borderId="3" xfId="0" applyFont="1" applyFill="1" applyBorder="1" applyAlignment="1">
      <alignment vertical="center" wrapText="1"/>
    </xf>
    <xf numFmtId="0" fontId="2" fillId="5" borderId="3" xfId="0" applyFont="1" applyFill="1" applyBorder="1" applyAlignment="1">
      <alignment vertical="center"/>
    </xf>
    <xf numFmtId="0" fontId="12" fillId="0" borderId="3" xfId="0" applyFont="1" applyBorder="1" applyAlignment="1">
      <alignment vertical="center"/>
    </xf>
    <xf numFmtId="0" fontId="12" fillId="0" borderId="3" xfId="0" applyFont="1" applyBorder="1" applyAlignment="1">
      <alignment vertical="center" wrapText="1"/>
    </xf>
    <xf numFmtId="0" fontId="2" fillId="5" borderId="0" xfId="0" applyFont="1" applyFill="1"/>
    <xf numFmtId="0" fontId="9" fillId="4" borderId="3" xfId="0" applyFont="1" applyFill="1" applyBorder="1" applyAlignment="1">
      <alignment vertical="center" wrapText="1"/>
    </xf>
    <xf numFmtId="0" fontId="7" fillId="3" borderId="4" xfId="0" applyFont="1" applyFill="1" applyBorder="1" applyAlignment="1">
      <alignment horizontal="center" vertical="center"/>
    </xf>
    <xf numFmtId="0" fontId="7" fillId="6" borderId="4" xfId="0" applyFont="1" applyFill="1" applyBorder="1" applyAlignment="1">
      <alignment horizontal="center" vertical="center"/>
    </xf>
    <xf numFmtId="0" fontId="14" fillId="6" borderId="8" xfId="0" applyFont="1" applyFill="1" applyBorder="1" applyAlignment="1">
      <alignment vertical="center"/>
    </xf>
    <xf numFmtId="0" fontId="14" fillId="6" borderId="9" xfId="0" applyFont="1" applyFill="1" applyBorder="1" applyAlignment="1">
      <alignment vertical="center"/>
    </xf>
    <xf numFmtId="0" fontId="16" fillId="6" borderId="8" xfId="0" applyFont="1" applyFill="1" applyBorder="1" applyAlignment="1">
      <alignment vertical="center"/>
    </xf>
    <xf numFmtId="0" fontId="16" fillId="6" borderId="7" xfId="0" applyFont="1" applyFill="1" applyBorder="1" applyAlignment="1">
      <alignment vertical="center"/>
    </xf>
    <xf numFmtId="0" fontId="8" fillId="6" borderId="4" xfId="0" applyFont="1" applyFill="1" applyBorder="1" applyAlignment="1">
      <alignment horizontal="left" vertical="center"/>
    </xf>
    <xf numFmtId="0" fontId="14" fillId="6" borderId="8" xfId="0" applyFont="1" applyFill="1" applyBorder="1" applyAlignment="1">
      <alignment vertical="center" wrapText="1"/>
    </xf>
    <xf numFmtId="0" fontId="15" fillId="6" borderId="8" xfId="0" applyFont="1" applyFill="1" applyBorder="1" applyAlignment="1">
      <alignment vertical="center"/>
    </xf>
    <xf numFmtId="0" fontId="10" fillId="5" borderId="3" xfId="0" applyFont="1" applyFill="1" applyBorder="1" applyAlignment="1">
      <alignment vertical="center" wrapText="1"/>
    </xf>
    <xf numFmtId="0" fontId="8" fillId="9" borderId="11" xfId="0" applyFont="1" applyFill="1" applyBorder="1" applyAlignment="1">
      <alignment horizontal="left" vertical="center"/>
    </xf>
    <xf numFmtId="0" fontId="9" fillId="10" borderId="0" xfId="0" applyFont="1" applyFill="1" applyAlignment="1">
      <alignment vertical="center" wrapText="1"/>
    </xf>
    <xf numFmtId="0" fontId="12" fillId="10" borderId="0" xfId="0" applyFont="1" applyFill="1" applyAlignment="1">
      <alignment vertical="center"/>
    </xf>
    <xf numFmtId="0" fontId="2" fillId="10" borderId="0" xfId="0" applyFont="1" applyFill="1" applyAlignment="1">
      <alignment vertical="center" wrapText="1"/>
    </xf>
    <xf numFmtId="0" fontId="2" fillId="10" borderId="0" xfId="0" applyFont="1" applyFill="1" applyAlignment="1">
      <alignment vertical="center"/>
    </xf>
    <xf numFmtId="0" fontId="8" fillId="9" borderId="10" xfId="0" applyFont="1" applyFill="1" applyBorder="1" applyAlignment="1">
      <alignment horizontal="left" vertical="center"/>
    </xf>
    <xf numFmtId="0" fontId="3" fillId="11" borderId="0" xfId="0" applyFont="1" applyFill="1" applyAlignment="1">
      <alignment horizontal="center" vertical="center"/>
    </xf>
    <xf numFmtId="0" fontId="3" fillId="10" borderId="0" xfId="0" applyFont="1" applyFill="1" applyAlignment="1">
      <alignment horizontal="center" vertical="center" wrapText="1"/>
    </xf>
    <xf numFmtId="0" fontId="8" fillId="9" borderId="0" xfId="0" applyFont="1" applyFill="1" applyAlignment="1">
      <alignment horizontal="left" vertical="center"/>
    </xf>
    <xf numFmtId="0" fontId="2" fillId="9" borderId="0" xfId="0" applyFont="1" applyFill="1" applyAlignment="1">
      <alignment vertical="center"/>
    </xf>
    <xf numFmtId="0" fontId="6" fillId="10" borderId="0" xfId="0" applyFont="1" applyFill="1" applyAlignment="1">
      <alignment vertical="center" wrapText="1"/>
    </xf>
    <xf numFmtId="0" fontId="6" fillId="10" borderId="0" xfId="0" applyFont="1" applyFill="1" applyAlignment="1">
      <alignment vertical="center"/>
    </xf>
    <xf numFmtId="0" fontId="5" fillId="10" borderId="0" xfId="0" applyFont="1" applyFill="1" applyAlignment="1">
      <alignment horizontal="center" vertical="center" wrapText="1"/>
    </xf>
    <xf numFmtId="0" fontId="5" fillId="11" borderId="0" xfId="0" applyFont="1" applyFill="1" applyAlignment="1">
      <alignment horizontal="center" vertical="center"/>
    </xf>
    <xf numFmtId="0" fontId="8" fillId="9" borderId="8" xfId="0" applyFont="1" applyFill="1" applyBorder="1" applyAlignment="1">
      <alignment horizontal="left" vertical="center"/>
    </xf>
    <xf numFmtId="0" fontId="2" fillId="5" borderId="3" xfId="0" applyFont="1" applyFill="1" applyBorder="1" applyAlignment="1" applyProtection="1">
      <alignment vertical="center"/>
      <protection locked="0"/>
    </xf>
    <xf numFmtId="0" fontId="8" fillId="9" borderId="6" xfId="0" applyFont="1" applyFill="1" applyBorder="1" applyAlignment="1">
      <alignment horizontal="left" vertical="center"/>
    </xf>
    <xf numFmtId="0" fontId="13" fillId="6" borderId="8" xfId="0" applyFont="1" applyFill="1" applyBorder="1" applyAlignment="1">
      <alignment vertical="center" wrapText="1"/>
    </xf>
    <xf numFmtId="0" fontId="14" fillId="5" borderId="7" xfId="0" applyFont="1" applyFill="1" applyBorder="1" applyAlignment="1">
      <alignment vertical="center"/>
    </xf>
    <xf numFmtId="0" fontId="14" fillId="5" borderId="8" xfId="0" applyFont="1" applyFill="1" applyBorder="1" applyAlignment="1">
      <alignment vertical="center"/>
    </xf>
    <xf numFmtId="0" fontId="14" fillId="5" borderId="9" xfId="0" applyFont="1" applyFill="1" applyBorder="1" applyAlignment="1">
      <alignment vertical="center"/>
    </xf>
    <xf numFmtId="0" fontId="17" fillId="2" borderId="7" xfId="0" applyFont="1" applyFill="1" applyBorder="1" applyAlignment="1">
      <alignment horizontal="center" vertical="center"/>
    </xf>
    <xf numFmtId="0" fontId="17" fillId="2" borderId="1" xfId="0" applyFont="1" applyFill="1" applyBorder="1" applyAlignment="1">
      <alignment horizontal="center" vertical="center"/>
    </xf>
    <xf numFmtId="0" fontId="17" fillId="2" borderId="2" xfId="0" applyFont="1" applyFill="1" applyBorder="1" applyAlignment="1">
      <alignment horizontal="center" vertical="center"/>
    </xf>
    <xf numFmtId="0" fontId="17" fillId="2" borderId="0" xfId="0" applyFont="1" applyFill="1" applyAlignment="1">
      <alignment horizontal="center" vertical="center"/>
    </xf>
    <xf numFmtId="0" fontId="18" fillId="0" borderId="0" xfId="0" applyFont="1"/>
    <xf numFmtId="0" fontId="19" fillId="0" borderId="0" xfId="0" applyFont="1"/>
    <xf numFmtId="0" fontId="17" fillId="0" borderId="0" xfId="0" applyFont="1"/>
    <xf numFmtId="0" fontId="17" fillId="7" borderId="0" xfId="0" applyFont="1" applyFill="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20" fillId="0" borderId="3" xfId="0" applyFont="1" applyBorder="1" applyAlignment="1">
      <alignment horizontal="center"/>
    </xf>
    <xf numFmtId="0" fontId="21" fillId="0" borderId="3" xfId="0" applyFont="1" applyBorder="1" applyAlignment="1">
      <alignment horizontal="center" vertical="center"/>
    </xf>
    <xf numFmtId="0" fontId="7" fillId="0" borderId="3" xfId="0" applyFont="1" applyBorder="1" applyAlignment="1" applyProtection="1">
      <alignment horizontal="center" vertical="center"/>
      <protection locked="0"/>
    </xf>
    <xf numFmtId="0" fontId="7" fillId="0" borderId="3" xfId="0" applyFont="1" applyBorder="1" applyAlignment="1">
      <alignment horizontal="center" vertical="center"/>
    </xf>
    <xf numFmtId="0" fontId="20" fillId="0" borderId="4" xfId="0" applyFont="1" applyBorder="1" applyAlignment="1">
      <alignment horizontal="center" vertical="center"/>
    </xf>
    <xf numFmtId="0" fontId="2" fillId="3" borderId="3" xfId="0" applyFont="1" applyFill="1" applyBorder="1" applyAlignment="1">
      <alignment horizontal="center" vertical="center" wrapText="1"/>
    </xf>
    <xf numFmtId="0" fontId="22" fillId="12" borderId="3" xfId="0" applyFont="1" applyFill="1" applyBorder="1" applyAlignment="1">
      <alignment horizontal="center" vertical="center" wrapText="1"/>
    </xf>
    <xf numFmtId="0" fontId="10" fillId="4" borderId="3" xfId="0" applyFont="1" applyFill="1" applyBorder="1" applyAlignment="1">
      <alignment vertical="center" wrapText="1"/>
    </xf>
    <xf numFmtId="0" fontId="6" fillId="4" borderId="3" xfId="0" applyFont="1" applyFill="1" applyBorder="1" applyAlignment="1">
      <alignment vertical="center"/>
    </xf>
    <xf numFmtId="0" fontId="6" fillId="5" borderId="3" xfId="0" applyFont="1" applyFill="1" applyBorder="1" applyAlignment="1">
      <alignment vertical="center"/>
    </xf>
    <xf numFmtId="0" fontId="24" fillId="8" borderId="3" xfId="0" applyFont="1" applyFill="1" applyBorder="1" applyAlignment="1">
      <alignment vertical="center"/>
    </xf>
    <xf numFmtId="0" fontId="24" fillId="5" borderId="3" xfId="0" applyFont="1" applyFill="1" applyBorder="1" applyAlignment="1">
      <alignment vertical="center" wrapText="1"/>
    </xf>
    <xf numFmtId="0" fontId="7" fillId="6" borderId="3" xfId="0" applyFont="1" applyFill="1" applyBorder="1" applyAlignment="1">
      <alignment horizontal="center" vertical="center"/>
    </xf>
    <xf numFmtId="0" fontId="8" fillId="9" borderId="13" xfId="0" applyFont="1" applyFill="1" applyBorder="1" applyAlignment="1">
      <alignment horizontal="left" vertical="center"/>
    </xf>
    <xf numFmtId="0" fontId="23" fillId="3" borderId="3" xfId="0" applyFont="1" applyFill="1" applyBorder="1" applyAlignment="1">
      <alignment horizontal="center" vertical="center"/>
    </xf>
    <xf numFmtId="0" fontId="23" fillId="6" borderId="3" xfId="0" applyFont="1" applyFill="1" applyBorder="1" applyAlignment="1">
      <alignment horizontal="center" vertical="center"/>
    </xf>
    <xf numFmtId="0" fontId="16" fillId="6" borderId="15" xfId="0" applyFont="1" applyFill="1" applyBorder="1" applyAlignment="1">
      <alignment vertical="center"/>
    </xf>
    <xf numFmtId="0" fontId="12" fillId="9" borderId="13" xfId="0" applyFont="1" applyFill="1" applyBorder="1" applyAlignment="1">
      <alignment horizontal="left" vertical="center"/>
    </xf>
    <xf numFmtId="0" fontId="10" fillId="8" borderId="3" xfId="0" applyFont="1" applyFill="1" applyBorder="1" applyAlignment="1">
      <alignment vertical="center" wrapText="1"/>
    </xf>
    <xf numFmtId="0" fontId="10" fillId="10" borderId="0" xfId="0" applyFont="1" applyFill="1" applyAlignment="1">
      <alignment vertical="center" wrapText="1"/>
    </xf>
    <xf numFmtId="0" fontId="0" fillId="0" borderId="16" xfId="0" applyBorder="1"/>
    <xf numFmtId="0" fontId="0" fillId="0" borderId="5" xfId="0" applyBorder="1"/>
    <xf numFmtId="0" fontId="0" fillId="0" borderId="14" xfId="0" applyBorder="1"/>
    <xf numFmtId="0" fontId="0" fillId="0" borderId="4" xfId="0" applyBorder="1"/>
    <xf numFmtId="0" fontId="25" fillId="0" borderId="6" xfId="1" applyBorder="1"/>
    <xf numFmtId="0" fontId="25" fillId="0" borderId="12" xfId="1" applyBorder="1"/>
    <xf numFmtId="0" fontId="0" fillId="0" borderId="9" xfId="0" applyBorder="1"/>
    <xf numFmtId="0" fontId="1" fillId="0" borderId="4" xfId="0" applyFont="1" applyBorder="1" applyAlignment="1">
      <alignment vertical="center" wrapText="1"/>
    </xf>
    <xf numFmtId="0" fontId="0" fillId="0" borderId="6" xfId="0" applyBorder="1" applyAlignment="1">
      <alignment vertical="center" wrapText="1"/>
    </xf>
    <xf numFmtId="0" fontId="1" fillId="0" borderId="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4" xfId="0" applyFont="1" applyBorder="1" applyAlignment="1">
      <alignment vertical="center" wrapText="1"/>
    </xf>
    <xf numFmtId="0" fontId="25" fillId="0" borderId="12" xfId="1" applyBorder="1" applyAlignment="1">
      <alignment vertical="center" wrapText="1"/>
    </xf>
    <xf numFmtId="14" fontId="0" fillId="0" borderId="6" xfId="0" applyNumberFormat="1" applyBorder="1" applyAlignment="1">
      <alignment horizontal="left" vertical="center" wrapText="1"/>
    </xf>
    <xf numFmtId="0" fontId="9" fillId="15" borderId="3" xfId="0" applyFont="1" applyFill="1" applyBorder="1" applyAlignment="1">
      <alignment vertical="center" wrapText="1"/>
    </xf>
    <xf numFmtId="0" fontId="10" fillId="15" borderId="3" xfId="0" applyFont="1" applyFill="1" applyBorder="1" applyAlignment="1">
      <alignment vertical="center" wrapText="1"/>
    </xf>
    <xf numFmtId="0" fontId="2" fillId="17" borderId="3" xfId="0" applyFont="1" applyFill="1" applyBorder="1" applyAlignment="1">
      <alignment horizontal="center" vertical="center" wrapText="1"/>
    </xf>
    <xf numFmtId="0" fontId="10" fillId="18" borderId="3" xfId="0" applyFont="1" applyFill="1" applyBorder="1" applyAlignment="1">
      <alignment vertical="center" wrapText="1"/>
    </xf>
    <xf numFmtId="0" fontId="26" fillId="19" borderId="3" xfId="0" applyFont="1" applyFill="1" applyBorder="1" applyAlignment="1">
      <alignment vertical="center" wrapText="1"/>
    </xf>
    <xf numFmtId="0" fontId="4" fillId="5" borderId="8" xfId="0" applyFont="1" applyFill="1" applyBorder="1" applyAlignment="1">
      <alignment vertical="center"/>
    </xf>
    <xf numFmtId="0" fontId="10" fillId="0" borderId="3" xfId="0" applyFont="1" applyBorder="1" applyAlignment="1">
      <alignment vertical="center"/>
    </xf>
    <xf numFmtId="0" fontId="10" fillId="3" borderId="3" xfId="0" applyFont="1" applyFill="1" applyBorder="1" applyAlignment="1">
      <alignment horizontal="center" vertical="center" wrapText="1"/>
    </xf>
    <xf numFmtId="0" fontId="10" fillId="10" borderId="0" xfId="0" applyFont="1" applyFill="1" applyAlignment="1">
      <alignment vertical="center"/>
    </xf>
    <xf numFmtId="0" fontId="10" fillId="0" borderId="4" xfId="0" applyFont="1" applyBorder="1" applyAlignment="1">
      <alignment vertical="center" wrapText="1"/>
    </xf>
    <xf numFmtId="0" fontId="10" fillId="5" borderId="3" xfId="0" applyFont="1" applyFill="1" applyBorder="1" applyAlignment="1">
      <alignment vertical="center"/>
    </xf>
    <xf numFmtId="0" fontId="10" fillId="14" borderId="3" xfId="0" applyFont="1" applyFill="1" applyBorder="1" applyAlignment="1">
      <alignment vertical="center" wrapText="1"/>
    </xf>
    <xf numFmtId="0" fontId="10" fillId="10" borderId="11" xfId="0" applyFont="1" applyFill="1" applyBorder="1" applyAlignment="1">
      <alignment vertical="center" wrapText="1"/>
    </xf>
    <xf numFmtId="0" fontId="10" fillId="10" borderId="11" xfId="0" applyFont="1" applyFill="1" applyBorder="1" applyAlignment="1">
      <alignment vertical="center"/>
    </xf>
    <xf numFmtId="0" fontId="11" fillId="9" borderId="0" xfId="0" applyFont="1" applyFill="1" applyAlignment="1">
      <alignment horizontal="left" vertical="center"/>
    </xf>
    <xf numFmtId="0" fontId="10" fillId="0" borderId="0" xfId="0" applyFont="1" applyAlignment="1">
      <alignment horizontal="left" vertical="center"/>
    </xf>
    <xf numFmtId="0" fontId="17" fillId="2" borderId="3" xfId="0" applyFont="1" applyFill="1" applyBorder="1" applyAlignment="1">
      <alignment horizontal="center" vertical="center"/>
    </xf>
    <xf numFmtId="0" fontId="17" fillId="7" borderId="3" xfId="0" applyFont="1" applyFill="1" applyBorder="1" applyAlignment="1">
      <alignment horizontal="center" vertical="center" wrapText="1"/>
    </xf>
    <xf numFmtId="0" fontId="10" fillId="3" borderId="3" xfId="0" applyFont="1" applyFill="1" applyBorder="1" applyAlignment="1">
      <alignment vertical="center" wrapText="1"/>
    </xf>
    <xf numFmtId="0" fontId="6" fillId="3" borderId="3" xfId="0" applyFont="1" applyFill="1" applyBorder="1" applyAlignment="1">
      <alignment horizontal="center" vertical="center" wrapText="1"/>
    </xf>
    <xf numFmtId="0" fontId="6" fillId="9" borderId="0" xfId="0" applyFont="1" applyFill="1" applyAlignment="1">
      <alignment vertical="center" wrapText="1"/>
    </xf>
    <xf numFmtId="0" fontId="10" fillId="6" borderId="3" xfId="0" applyFont="1" applyFill="1" applyBorder="1" applyAlignment="1">
      <alignment vertical="center" wrapText="1"/>
    </xf>
    <xf numFmtId="0" fontId="10" fillId="13" borderId="3" xfId="0" applyFont="1" applyFill="1" applyBorder="1" applyAlignment="1">
      <alignment vertical="center" wrapText="1"/>
    </xf>
    <xf numFmtId="0" fontId="10" fillId="16" borderId="3" xfId="0" applyFont="1" applyFill="1" applyBorder="1" applyAlignment="1">
      <alignment vertical="center" wrapText="1"/>
    </xf>
    <xf numFmtId="0" fontId="2" fillId="3" borderId="3" xfId="0" applyFont="1" applyFill="1" applyBorder="1" applyAlignment="1">
      <alignment horizontal="center" vertical="center"/>
    </xf>
    <xf numFmtId="0" fontId="14" fillId="6" borderId="0" xfId="0" applyFont="1" applyFill="1" applyAlignment="1">
      <alignment vertical="center" wrapText="1"/>
    </xf>
    <xf numFmtId="0" fontId="13" fillId="6" borderId="0" xfId="0" applyFont="1" applyFill="1" applyAlignment="1">
      <alignment vertical="center" wrapText="1"/>
    </xf>
    <xf numFmtId="0" fontId="8" fillId="9" borderId="3" xfId="0" applyFont="1" applyFill="1" applyBorder="1" applyAlignment="1">
      <alignment horizontal="left" vertical="center"/>
    </xf>
    <xf numFmtId="0" fontId="2" fillId="3" borderId="6" xfId="0" applyFont="1" applyFill="1" applyBorder="1" applyAlignment="1">
      <alignment horizontal="center" vertical="center"/>
    </xf>
    <xf numFmtId="0" fontId="5" fillId="11" borderId="3" xfId="0" applyFont="1" applyFill="1" applyBorder="1" applyAlignment="1">
      <alignment horizontal="center" vertical="center"/>
    </xf>
    <xf numFmtId="0" fontId="10" fillId="10" borderId="3" xfId="0" applyFont="1" applyFill="1" applyBorder="1" applyAlignment="1">
      <alignment vertical="center"/>
    </xf>
    <xf numFmtId="0" fontId="6" fillId="6" borderId="3" xfId="0" applyFont="1" applyFill="1" applyBorder="1" applyAlignment="1">
      <alignment horizontal="center" vertical="center" wrapText="1"/>
    </xf>
    <xf numFmtId="0" fontId="6" fillId="0" borderId="0" xfId="0" applyFont="1" applyAlignment="1">
      <alignment vertical="center"/>
    </xf>
    <xf numFmtId="0" fontId="10" fillId="15" borderId="4" xfId="0" applyFont="1" applyFill="1" applyBorder="1" applyAlignment="1">
      <alignment vertical="center" wrapText="1"/>
    </xf>
    <xf numFmtId="0" fontId="2" fillId="0" borderId="0" xfId="0" applyFont="1" applyAlignment="1">
      <alignment vertical="center" wrapText="1"/>
    </xf>
    <xf numFmtId="0" fontId="2" fillId="15" borderId="3" xfId="0" applyFont="1" applyFill="1" applyBorder="1" applyAlignment="1">
      <alignment wrapText="1"/>
    </xf>
    <xf numFmtId="0" fontId="2" fillId="15" borderId="3" xfId="0" applyFont="1" applyFill="1" applyBorder="1" applyAlignment="1">
      <alignment vertical="center" wrapText="1"/>
    </xf>
    <xf numFmtId="0" fontId="9" fillId="14" borderId="3" xfId="0" applyFont="1" applyFill="1" applyBorder="1" applyAlignment="1">
      <alignment vertical="center" wrapText="1"/>
    </xf>
    <xf numFmtId="0" fontId="2" fillId="4" borderId="3" xfId="0" applyFont="1" applyFill="1" applyBorder="1" applyAlignment="1">
      <alignment vertical="center" wrapText="1"/>
    </xf>
    <xf numFmtId="0" fontId="24" fillId="20" borderId="3" xfId="0" applyFont="1" applyFill="1" applyBorder="1" applyAlignment="1">
      <alignment vertical="center"/>
    </xf>
    <xf numFmtId="0" fontId="10" fillId="8" borderId="3" xfId="0" applyFont="1" applyFill="1" applyBorder="1" applyAlignment="1">
      <alignment vertical="center"/>
    </xf>
    <xf numFmtId="0" fontId="2" fillId="3" borderId="1" xfId="0" applyFont="1" applyFill="1" applyBorder="1" applyAlignment="1">
      <alignment vertical="center" wrapText="1"/>
    </xf>
    <xf numFmtId="0" fontId="2" fillId="3" borderId="1" xfId="0" applyFont="1" applyFill="1" applyBorder="1" applyAlignment="1">
      <alignment vertical="center"/>
    </xf>
    <xf numFmtId="0" fontId="2" fillId="3" borderId="2" xfId="0" applyFont="1" applyFill="1" applyBorder="1" applyAlignment="1">
      <alignment vertical="center"/>
    </xf>
    <xf numFmtId="0" fontId="2" fillId="6" borderId="7" xfId="0" applyFont="1" applyFill="1" applyBorder="1" applyAlignment="1">
      <alignment vertical="center"/>
    </xf>
    <xf numFmtId="0" fontId="2" fillId="21" borderId="3" xfId="0" applyFont="1" applyFill="1" applyBorder="1" applyAlignment="1">
      <alignment horizontal="center" vertical="center"/>
    </xf>
    <xf numFmtId="0" fontId="6" fillId="21" borderId="3" xfId="0" applyFont="1" applyFill="1" applyBorder="1" applyAlignment="1">
      <alignment horizontal="center" vertical="center" wrapText="1"/>
    </xf>
    <xf numFmtId="0" fontId="2" fillId="6" borderId="8" xfId="0" applyFont="1" applyFill="1" applyBorder="1" applyAlignment="1">
      <alignment vertical="center"/>
    </xf>
    <xf numFmtId="0" fontId="7" fillId="6" borderId="0" xfId="0" applyFont="1" applyFill="1" applyAlignment="1">
      <alignment horizontal="center" vertical="center"/>
    </xf>
    <xf numFmtId="0" fontId="2" fillId="6" borderId="1" xfId="0" applyFont="1" applyFill="1" applyBorder="1" applyAlignment="1">
      <alignment vertical="center" wrapText="1"/>
    </xf>
    <xf numFmtId="0" fontId="2" fillId="5" borderId="0" xfId="0" applyFont="1" applyFill="1" applyAlignment="1">
      <alignment vertical="center" wrapText="1"/>
    </xf>
    <xf numFmtId="0" fontId="27" fillId="11" borderId="0" xfId="0" applyFont="1" applyFill="1" applyAlignment="1">
      <alignment horizontal="center" vertical="center"/>
    </xf>
    <xf numFmtId="0" fontId="28" fillId="10" borderId="0" xfId="0" applyFont="1" applyFill="1" applyAlignment="1">
      <alignment vertical="center"/>
    </xf>
  </cellXfs>
  <cellStyles count="2">
    <cellStyle name="Hyperlink" xfId="1" builtinId="8"/>
    <cellStyle name="Normal" xfId="0" builtinId="0"/>
  </cellStyles>
  <dxfs count="473">
    <dxf>
      <font>
        <strike val="0"/>
        <outline val="0"/>
        <shadow val="0"/>
        <u val="none"/>
        <vertAlign val="baseline"/>
        <color auto="1"/>
      </font>
      <alignment vertical="center" textRotation="0" indent="0" justifyLastLine="0" shrinkToFit="0" readingOrder="0"/>
    </dxf>
    <dxf>
      <font>
        <strike val="0"/>
        <outline val="0"/>
        <shadow val="0"/>
        <u val="none"/>
        <vertAlign val="baseline"/>
        <color auto="1"/>
      </font>
      <alignment vertical="center" textRotation="0" indent="0" justifyLastLine="0" shrinkToFit="0" readingOrder="0"/>
    </dxf>
    <dxf>
      <font>
        <strike val="0"/>
        <outline val="0"/>
        <shadow val="0"/>
        <u val="none"/>
        <vertAlign val="baseline"/>
        <color auto="1"/>
      </font>
      <numFmt numFmtId="0" formatCode="General"/>
      <alignment vertical="center" textRotation="0" indent="0" justifyLastLine="0" shrinkToFit="0" readingOrder="0"/>
    </dxf>
    <dxf>
      <font>
        <strike val="0"/>
        <outline val="0"/>
        <shadow val="0"/>
        <u val="none"/>
        <vertAlign val="baseline"/>
        <color auto="1"/>
      </font>
      <alignment vertical="center" textRotation="0" indent="0" justifyLastLine="0" shrinkToFit="0" readingOrder="0"/>
    </dxf>
    <dxf>
      <font>
        <strike val="0"/>
        <outline val="0"/>
        <shadow val="0"/>
        <u val="none"/>
        <vertAlign val="baseline"/>
        <color auto="1"/>
      </font>
      <alignment vertical="center" textRotation="0" indent="0" justifyLastLine="0" shrinkToFit="0" readingOrder="0"/>
    </dxf>
    <dxf>
      <font>
        <strike val="0"/>
        <outline val="0"/>
        <shadow val="0"/>
        <u val="none"/>
        <vertAlign val="baseline"/>
        <color auto="1"/>
      </font>
      <alignment vertical="center" textRotation="0" indent="0" justifyLastLine="0" shrinkToFit="0" readingOrder="0"/>
    </dxf>
    <dxf>
      <font>
        <strike val="0"/>
        <outline val="0"/>
        <shadow val="0"/>
        <u val="none"/>
        <vertAlign val="baseline"/>
        <color auto="1"/>
      </font>
      <alignment horizontal="general" vertical="center" textRotation="0" wrapText="1" indent="0" justifyLastLine="0" shrinkToFit="0" readingOrder="0"/>
    </dxf>
    <dxf>
      <font>
        <b/>
        <i val="0"/>
        <strike val="0"/>
        <condense val="0"/>
        <extend val="0"/>
        <outline val="0"/>
        <shadow val="0"/>
        <u val="none"/>
        <vertAlign val="baseline"/>
        <sz val="20"/>
        <color auto="1"/>
        <name val="Calibri"/>
        <family val="2"/>
        <scheme val="minor"/>
      </font>
      <fill>
        <patternFill patternType="solid">
          <fgColor theme="4" tint="0.79998168889431442"/>
          <bgColor theme="4" tint="0.39997558519241921"/>
        </patternFill>
      </fill>
      <alignment horizontal="left" vertical="center" textRotation="0" wrapText="0" indent="0" justifyLastLine="0" shrinkToFit="0" readingOrder="0"/>
    </dxf>
    <dxf>
      <font>
        <strike val="0"/>
        <outline val="0"/>
        <shadow val="0"/>
        <u val="none"/>
        <vertAlign val="baseline"/>
        <color auto="1"/>
      </font>
      <alignment vertical="center" textRotation="0" indent="0" justifyLastLine="0" shrinkToFit="0" readingOrder="0"/>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color auto="1"/>
      </font>
      <alignment vertical="center" textRotation="0" indent="0" justifyLastLine="0" shrinkToFit="0" readingOrder="0"/>
    </dxf>
    <dxf>
      <font>
        <b/>
        <i val="0"/>
        <strike val="0"/>
        <condense val="0"/>
        <extend val="0"/>
        <outline val="0"/>
        <shadow val="0"/>
        <u val="none"/>
        <vertAlign val="baseline"/>
        <sz val="25"/>
        <color theme="0"/>
        <name val="Calibri"/>
        <family val="2"/>
        <scheme val="minor"/>
      </font>
      <fill>
        <patternFill patternType="solid">
          <fgColor theme="4"/>
          <bgColor theme="4"/>
        </patternFill>
      </fill>
      <alignment horizontal="center" vertical="center" textRotation="0" wrapText="0" indent="0" justifyLastLine="0" shrinkToFit="0" readingOrder="0"/>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strike val="0"/>
        <outline val="0"/>
        <shadow val="0"/>
        <u val="none"/>
        <vertAlign val="baseline"/>
        <sz val="11"/>
        <color auto="1"/>
        <name val="Calibri"/>
        <family val="2"/>
        <scheme val="minor"/>
      </font>
      <alignment horizontal="general" vertical="center" textRotation="0" indent="0" justifyLastLine="0" shrinkToFit="0" readingOrder="0"/>
    </dxf>
    <dxf>
      <font>
        <strike val="0"/>
        <outline val="0"/>
        <shadow val="0"/>
        <u val="none"/>
        <vertAlign val="baseline"/>
        <sz val="11"/>
        <color auto="1"/>
        <name val="Calibri"/>
        <family val="2"/>
        <scheme val="minor"/>
      </font>
      <alignment horizontal="general" vertical="center" textRotation="0" indent="0" justifyLastLine="0" shrinkToFit="0" readingOrder="0"/>
    </dxf>
    <dxf>
      <font>
        <strike val="0"/>
        <outline val="0"/>
        <shadow val="0"/>
        <u val="none"/>
        <vertAlign val="baseline"/>
        <sz val="11"/>
        <color auto="1"/>
        <name val="Calibri"/>
        <family val="2"/>
        <scheme val="minor"/>
      </font>
      <alignment horizontal="general" vertical="center" textRotation="0" indent="0" justifyLastLine="0" shrinkToFit="0" readingOrder="0"/>
    </dxf>
    <dxf>
      <font>
        <strike val="0"/>
        <outline val="0"/>
        <shadow val="0"/>
        <u val="none"/>
        <vertAlign val="baseline"/>
        <sz val="11"/>
        <color auto="1"/>
        <name val="Calibri"/>
        <family val="2"/>
        <scheme val="minor"/>
      </font>
      <alignment horizontal="general" vertical="center" textRotation="0" indent="0" justifyLastLine="0" shrinkToFit="0" readingOrder="0"/>
    </dxf>
    <dxf>
      <font>
        <strike val="0"/>
        <outline val="0"/>
        <shadow val="0"/>
        <u val="none"/>
        <vertAlign val="baseline"/>
        <sz val="11"/>
        <color auto="1"/>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strike val="0"/>
        <outline val="0"/>
        <shadow val="0"/>
        <u val="none"/>
        <vertAlign val="baseline"/>
        <sz val="8"/>
        <color theme="0"/>
        <name val="Calibri"/>
        <family val="2"/>
        <scheme val="minor"/>
      </font>
      <fill>
        <patternFill patternType="solid">
          <fgColor theme="4" tint="0.79998168889431442"/>
          <bgColor theme="0"/>
        </patternFill>
      </fill>
      <alignment horizontal="general"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auto="1"/>
      </font>
      <alignment horizontal="general" vertical="center" textRotation="0" indent="0" justifyLastLine="0" shrinkToFit="0" readingOrder="0"/>
    </dxf>
    <dxf>
      <border>
        <bottom style="thin">
          <color indexed="64"/>
        </bottom>
      </border>
    </dxf>
    <dxf>
      <font>
        <b/>
        <i val="0"/>
        <strike val="0"/>
        <condense val="0"/>
        <extend val="0"/>
        <outline val="0"/>
        <shadow val="0"/>
        <u val="none"/>
        <vertAlign val="baseline"/>
        <sz val="25"/>
        <color theme="0"/>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bgColor theme="4" tint="-0.499984740745262"/>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0" formatCode="Genera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auto="1"/>
        <name val="Calibri"/>
        <family val="2"/>
        <scheme val="none"/>
      </font>
      <alignment vertical="center" textRotation="0" indent="0" justifyLastLine="0" shrinkToFit="0" readingOrder="0"/>
    </dxf>
    <dxf>
      <font>
        <strike val="0"/>
        <outline val="0"/>
        <shadow val="0"/>
        <u val="none"/>
        <vertAlign val="baseline"/>
        <sz val="25"/>
        <color auto="1"/>
        <name val="Calibri"/>
        <family val="2"/>
        <scheme val="minor"/>
      </font>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bgColor theme="4" tint="-0.499984740745262"/>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0" formatCode="Genera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1"/>
        <color auto="1"/>
        <name val="Calibri"/>
        <family val="2"/>
        <scheme val="minor"/>
      </font>
      <alignment vertical="center" textRotation="0" indent="0" justifyLastLine="0" shrinkToFit="0" readingOrder="0"/>
    </dxf>
    <dxf>
      <font>
        <strike val="0"/>
        <outline val="0"/>
        <shadow val="0"/>
        <u val="none"/>
        <vertAlign val="baseline"/>
        <sz val="25"/>
        <color auto="1"/>
        <name val="Calibri"/>
        <family val="2"/>
        <scheme val="minor"/>
      </font>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strike val="0"/>
        <outline val="0"/>
        <shadow val="0"/>
        <u val="none"/>
        <vertAlign val="baseline"/>
        <color auto="1"/>
        <name val="Times New Roman"/>
        <family val="1"/>
        <scheme val="none"/>
      </font>
      <alignment horizontal="general" vertical="center" textRotation="0" indent="0" justifyLastLine="0" shrinkToFit="0" readingOrder="0"/>
    </dxf>
    <dxf>
      <font>
        <strike val="0"/>
        <outline val="0"/>
        <shadow val="0"/>
        <u val="none"/>
        <vertAlign val="baseline"/>
        <color auto="1"/>
        <name val="Times New Roman"/>
        <family val="1"/>
        <scheme val="none"/>
      </font>
      <alignment horizontal="general" vertical="center" textRotation="0" indent="0" justifyLastLine="0" shrinkToFit="0" readingOrder="0"/>
    </dxf>
    <dxf>
      <font>
        <strike val="0"/>
        <outline val="0"/>
        <shadow val="0"/>
        <u val="none"/>
        <vertAlign val="baseline"/>
        <color auto="1"/>
        <name val="Times New Roman"/>
        <family val="1"/>
        <scheme val="none"/>
      </font>
      <numFmt numFmtId="0" formatCode="General"/>
      <alignment horizontal="general" vertical="center" textRotation="0" indent="0" justifyLastLine="0" shrinkToFit="0" readingOrder="0"/>
    </dxf>
    <dxf>
      <font>
        <strike val="0"/>
        <outline val="0"/>
        <shadow val="0"/>
        <u val="none"/>
        <vertAlign val="baseline"/>
        <color auto="1"/>
        <name val="Times New Roman"/>
        <family val="1"/>
        <scheme val="none"/>
      </font>
      <alignment horizontal="general" vertical="center" textRotation="0" indent="0" justifyLastLine="0" shrinkToFit="0" readingOrder="0"/>
    </dxf>
    <dxf>
      <font>
        <strike val="0"/>
        <outline val="0"/>
        <shadow val="0"/>
        <u val="none"/>
        <vertAlign val="baseline"/>
        <color auto="1"/>
        <name val="Times New Roman"/>
        <family val="1"/>
        <scheme val="none"/>
      </font>
      <alignment horizontal="general" vertical="center" textRotation="0" indent="0" justifyLastLine="0" shrinkToFit="0" readingOrder="0"/>
    </dxf>
    <dxf>
      <font>
        <strike val="0"/>
        <outline val="0"/>
        <shadow val="0"/>
        <u val="none"/>
        <vertAlign val="baseline"/>
        <color auto="1"/>
        <name val="Times New Roman"/>
        <family val="1"/>
        <scheme val="none"/>
      </font>
      <alignment horizontal="general" vertical="center" textRotation="0" indent="0" justifyLastLine="0" shrinkToFit="0" readingOrder="0"/>
    </dxf>
    <dxf>
      <font>
        <strike val="0"/>
        <outline val="0"/>
        <shadow val="0"/>
        <u val="none"/>
        <vertAlign val="baseline"/>
        <color auto="1"/>
        <name val="Times New Roman"/>
        <family val="1"/>
        <scheme val="none"/>
      </font>
      <alignment horizontal="general" vertical="center" textRotation="0" wrapText="1" indent="0" justifyLastLine="0" shrinkToFit="0" readingOrder="0"/>
    </dxf>
    <dxf>
      <font>
        <b/>
        <strike val="0"/>
        <outline val="0"/>
        <shadow val="0"/>
        <u val="none"/>
        <vertAlign val="baseline"/>
        <sz val="18"/>
        <color auto="1"/>
        <name val="Times New Roman"/>
        <family val="1"/>
        <scheme val="none"/>
      </font>
      <fill>
        <patternFill patternType="solid">
          <fgColor theme="4" tint="0.79998168889431442"/>
          <bgColor theme="4" tint="0.79998168889431442"/>
        </patternFill>
      </fill>
      <alignment horizontal="center" vertical="center" textRotation="0" wrapText="0" indent="0" justifyLastLine="0" shrinkToFit="0" readingOrder="0"/>
    </dxf>
    <dxf>
      <font>
        <strike val="0"/>
        <outline val="0"/>
        <shadow val="0"/>
        <u val="none"/>
        <vertAlign val="baseline"/>
        <color theme="0"/>
        <name val="Times New Roman"/>
        <family val="1"/>
        <scheme val="none"/>
      </font>
      <fill>
        <patternFill patternType="solid">
          <fgColor theme="4" tint="0.79998168889431442"/>
          <bgColor theme="0"/>
        </patternFill>
      </fill>
      <alignment horizontal="general" vertical="center" textRotation="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color auto="1"/>
        <name val="Times New Roman"/>
        <family val="1"/>
        <scheme val="none"/>
      </font>
      <alignment horizontal="general" vertical="center" textRotation="0" indent="0" justifyLastLine="0" shrinkToFit="0" readingOrder="0"/>
    </dxf>
    <dxf>
      <font>
        <b/>
        <i val="0"/>
        <strike val="0"/>
        <condense val="0"/>
        <extend val="0"/>
        <outline val="0"/>
        <shadow val="0"/>
        <u val="none"/>
        <vertAlign val="baseline"/>
        <sz val="25"/>
        <color theme="0"/>
        <name val="Calibri"/>
        <family val="2"/>
        <scheme val="minor"/>
      </font>
      <fill>
        <patternFill patternType="solid">
          <fgColor theme="4"/>
          <bgColor theme="4"/>
        </patternFill>
      </fill>
      <alignment horizontal="center" vertical="center" textRotation="0" wrapText="0" indent="0" justifyLastLine="0" shrinkToFit="0" readingOrder="0"/>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val="0"/>
        <i val="0"/>
        <strike val="0"/>
        <condense val="0"/>
        <extend val="0"/>
        <outline val="0"/>
        <shadow val="0"/>
        <u val="none"/>
        <vertAlign val="baseline"/>
        <sz val="11"/>
        <color auto="1"/>
        <name val="Calibri"/>
        <family val="2"/>
        <scheme val="minor"/>
      </font>
      <fill>
        <patternFill patternType="solid">
          <fgColor theme="4" tint="0.79998168889431442"/>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right style="thin">
          <color theme="4" tint="0.39997558519241921"/>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right style="thin">
          <color theme="4" tint="0.39997558519241921"/>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4" tint="0.79998168889431442"/>
          <bgColor theme="0"/>
        </patternFill>
      </fill>
      <alignment horizontal="general"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8"/>
        <color auto="1"/>
        <name val="Calibri"/>
        <family val="2"/>
        <scheme val="minor"/>
      </font>
      <fill>
        <patternFill patternType="solid">
          <fgColor theme="4" tint="0.79998168889431442"/>
          <bgColor theme="0"/>
        </patternFill>
      </fill>
      <alignment horizontal="center" vertical="center" textRotation="0" wrapText="0" indent="0" justifyLastLine="0" shrinkToFit="0" readingOrder="0"/>
    </dxf>
    <dxf>
      <font>
        <b/>
        <i val="0"/>
        <strike val="0"/>
        <condense val="0"/>
        <extend val="0"/>
        <outline val="0"/>
        <shadow val="0"/>
        <u val="none"/>
        <vertAlign val="baseline"/>
        <sz val="18"/>
        <color auto="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4" tint="0.79998168889431442"/>
          <bgColor theme="0"/>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bottom/>
        <vertical/>
        <horizontal/>
      </border>
    </dxf>
    <dxf>
      <border outline="0">
        <left style="thin">
          <color theme="4" tint="0.39997558519241921"/>
        </left>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25"/>
        <color theme="0"/>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font>
      <fill>
        <patternFill>
          <bgColor rgb="FFFFFF0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font>
      <fill>
        <patternFill>
          <bgColor rgb="FF92D05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404760</xdr:colOff>
      <xdr:row>0</xdr:row>
      <xdr:rowOff>87164</xdr:rowOff>
    </xdr:from>
    <xdr:to>
      <xdr:col>16</xdr:col>
      <xdr:colOff>153976</xdr:colOff>
      <xdr:row>9</xdr:row>
      <xdr:rowOff>176561</xdr:rowOff>
    </xdr:to>
    <xdr:sp macro="" textlink="">
      <xdr:nvSpPr>
        <xdr:cNvPr id="2" name="Rectangle 1">
          <a:extLst>
            <a:ext uri="{FF2B5EF4-FFF2-40B4-BE49-F238E27FC236}">
              <a16:creationId xmlns:a16="http://schemas.microsoft.com/office/drawing/2014/main" id="{8157A04E-1AD2-478B-9122-01A34EFEDA0D}"/>
            </a:ext>
          </a:extLst>
        </xdr:cNvPr>
        <xdr:cNvSpPr/>
      </xdr:nvSpPr>
      <xdr:spPr>
        <a:xfrm>
          <a:off x="404760" y="87164"/>
          <a:ext cx="27887460" cy="1762080"/>
        </a:xfrm>
        <a:prstGeom prst="rect">
          <a:avLst/>
        </a:prstGeom>
        <a:ln>
          <a:noFill/>
        </a:ln>
        <a:effectLst>
          <a:outerShdw blurRad="190500" dist="228600" dir="2700000" algn="ctr">
            <a:srgbClr val="000000">
              <a:alpha val="30000"/>
            </a:srgbClr>
          </a:outerShdw>
        </a:effectLst>
        <a:scene3d>
          <a:camera prst="perspectiveFront"/>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1">
              <a:latin typeface="Times New Roman" panose="02020603050405020304" pitchFamily="18" charset="0"/>
              <a:cs typeface="Times New Roman" panose="02020603050405020304" pitchFamily="18" charset="0"/>
            </a:rPr>
            <a:t>Veille réglementaire en cybersécurité, protection des données personnelles et droits d’auteur </a:t>
          </a:r>
        </a:p>
        <a:p>
          <a:pPr algn="ctr"/>
          <a:r>
            <a:rPr lang="en-US" sz="3600" b="1" i="1">
              <a:latin typeface="Times New Roman" panose="02020603050405020304" pitchFamily="18" charset="0"/>
              <a:cs typeface="Times New Roman" panose="02020603050405020304" pitchFamily="18" charset="0"/>
            </a:rPr>
            <a:t>En Tunisie</a:t>
          </a:r>
          <a:r>
            <a:rPr lang="en-US" sz="3600" b="1" i="1" baseline="0">
              <a:latin typeface="Times New Roman" panose="02020603050405020304" pitchFamily="18" charset="0"/>
              <a:cs typeface="Times New Roman" panose="02020603050405020304" pitchFamily="18" charset="0"/>
            </a:rPr>
            <a:t> et en France</a:t>
          </a:r>
          <a:endParaRPr lang="fr-TN" sz="3600" b="1" i="1">
            <a:latin typeface="Times New Roman" panose="02020603050405020304" pitchFamily="18" charset="0"/>
            <a:cs typeface="Times New Roman" panose="02020603050405020304" pitchFamily="18"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CDF6FA-D644-417C-8898-BDE46955D538}" name="Table3" displayName="Table3" ref="H13:J35" totalsRowShown="0" headerRowDxfId="472" headerRowBorderDxfId="471" tableBorderDxfId="470" totalsRowBorderDxfId="469">
  <autoFilter ref="H13:J35" xr:uid="{7FCDF6FA-D644-417C-8898-BDE46955D538}"/>
  <tableColumns count="3">
    <tableColumn id="3" xr3:uid="{7E8276F7-3B6C-4F79-B783-ACE9DA2A5842}" name="Pays" dataDxfId="468"/>
    <tableColumn id="1" xr3:uid="{ECE9127A-8A97-4A46-AA14-2BA2DC3E768A}" name="Réferences" dataDxfId="467"/>
    <tableColumn id="2" xr3:uid="{419A4BA2-6553-4A06-9F4D-971FB3DEA7B6}" name="Lien" dataDxfId="46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C408A6-ADD6-43B4-98C8-08593DCD6352}" name="Table7" displayName="Table7" ref="B13:C18" totalsRowShown="0" headerRowDxfId="465" headerRowBorderDxfId="464" tableBorderDxfId="463" totalsRowBorderDxfId="462">
  <autoFilter ref="B13:C18" xr:uid="{84C408A6-ADD6-43B4-98C8-08593DCD6352}"/>
  <tableColumns count="2">
    <tableColumn id="1" xr3:uid="{A5FF953E-FD79-4895-A756-0BCE50765AA2}" name="Élément" dataDxfId="461"/>
    <tableColumn id="2" xr3:uid="{DBA149EA-3C48-491E-8DF4-E12EFC03ADE4}" name="Contenu" dataDxfId="46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5C2EFC-BB38-486B-A4CD-6BEB13180280}" name="Table2" displayName="Table2" ref="A1:I73" totalsRowCount="1" headerRowDxfId="421" dataDxfId="419" headerRowBorderDxfId="420" tableBorderDxfId="418">
  <autoFilter xmlns:x14="http://schemas.microsoft.com/office/spreadsheetml/2009/9/main" ref="A1:I72" xr:uid="{F55C2EFC-BB38-486B-A4CD-6BEB13180280}">
    <filterColumn colId="1">
      <filters>
        <mc:AlternateContent xmlns:mc="http://schemas.openxmlformats.org/markup-compatibility/2006">
          <mc:Choice Requires="x14">
            <x14:filter val="Décret n° 2007-3004 du 27 novembre 2007, fixant les conditions  et les procédures de déclaratioDécret n° 2007-3004 du 27 novembre 2007, fixant les conditions  et les procédures de déclaration et d’autorisation pour le traitement  des données à caractère personneln et d’autorisation pour le traitement  des données à caractère personnel"/>
            <x14:filter val="Loi organique n° 2004-63 du 27 juillet 2004,portant sur la protection des données à caractères personnellesanique n° 2004-63 du 27 juillet 2004,"/>
          </mc:Choice>
          <mc:Fallback>
            <filter val="Loi organique n° 2004-63 du 27 juillet 2004,portant sur la protection des données à caractères personnellesanique n° 2004-63 du 27 juillet 2004,"/>
          </mc:Fallback>
        </mc:AlternateContent>
      </filters>
    </filterColumn>
  </autoFilter>
  <tableColumns count="9">
    <tableColumn id="1" xr3:uid="{2A248E10-45D8-4198-A1B2-1B3F37B28C13}" name="Loi" dataDxfId="417" totalsRowDxfId="416"/>
    <tableColumn id="2" xr3:uid="{84A024C6-41C5-41D4-8084-690C783D24DC}" name="N° Article" dataDxfId="415" totalsRowDxfId="414"/>
    <tableColumn id="3" xr3:uid="{DE8DBC28-FECA-4381-92C2-9C10D0E4B8E8}" name="Article" dataDxfId="413" totalsRowDxfId="412"/>
    <tableColumn id="4" xr3:uid="{F85A752D-4C83-4FBE-BB13-21B765E1D40A}" name="Résumé" dataDxfId="411" totalsRowDxfId="410"/>
    <tableColumn id="5" xr3:uid="{38C82719-BC7D-4E08-8F02-A63C38F49E75}" name="Applicabilité" dataDxfId="409" totalsRowDxfId="408"/>
    <tableColumn id="6" xr3:uid="{EF47B699-221F-4AE6-9AF6-278F697CA00F}" name="Justification si Non Applicable" dataDxfId="407" totalsRowDxfId="406"/>
    <tableColumn id="7" xr3:uid="{251C6341-3780-410D-94B8-59656E0588D3}" name="Percentage de conformité" dataDxfId="405" totalsRowDxfId="404"/>
    <tableColumn id="9" xr3:uid="{B3EBB352-AAF2-4DF9-A8F7-5AD5CB7874AA}" name="Conformité" dataDxfId="403" totalsRowDxfId="402"/>
    <tableColumn id="11" xr3:uid="{1857CB9E-3C1E-47B1-AF73-2894576A25F7}" name="Plan d'Action en cas de Non-Conformité" dataDxfId="401" totalsRowDxfId="400"/>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1B81C7-7F3E-4F22-A29A-2919744B1DE2}" name="Table1" displayName="Table1" ref="B1:J45" totalsRowShown="0" headerRowDxfId="325" dataDxfId="324">
  <autoFilter ref="B1:J45" xr:uid="{AA1B81C7-7F3E-4F22-A29A-2919744B1DE2}">
    <filterColumn colId="1">
      <filters>
        <filter val="Arrêté du ministre des technologies de la communication du 12 septembre 2023, fixant les procédures et les conditions d’octroi du label « sécurisé » et de son retrait."/>
        <filter val="Code pénal tunisien"/>
        <filter val="Décret-loi n° 2022-54 du 13 septembre 2022, relatif à la lutte contre les infractions se rapportant aux systèmes d’information et de communication"/>
        <filter val="Décret-loi n° 2023-17 du 11 mars 2023, relatif à la cybersécurité"/>
        <filter val="Loi n° 2004-5 du 3 février 2004, relative à la sécurité informatique"/>
      </filters>
    </filterColumn>
  </autoFilter>
  <tableColumns count="9">
    <tableColumn id="1" xr3:uid="{10F84DEF-7861-47F8-9537-A9813CACC10A}" name="Loi" dataDxfId="323"/>
    <tableColumn id="2" xr3:uid="{D502179C-A1A8-4AB9-A008-73B7D499EAC9}" name="N° Article" dataDxfId="322"/>
    <tableColumn id="3" xr3:uid="{6ADE756E-B2D3-4BB9-8AA2-5EC594B14000}" name="Article" dataDxfId="321"/>
    <tableColumn id="4" xr3:uid="{C995BAA7-1A49-42C7-AC4A-FA37A1CBBEC9}" name="Résumé" dataDxfId="320"/>
    <tableColumn id="5" xr3:uid="{9B420A99-26D2-4096-A9DB-5360DB84730F}" name="Applicabilité" dataDxfId="319"/>
    <tableColumn id="6" xr3:uid="{AC97B050-10CE-4C9C-9A58-1784526A6D84}" name="Justification si Non Applicable" dataDxfId="318"/>
    <tableColumn id="7" xr3:uid="{8A7FC1FF-A161-4241-83F8-CE7E5B218FC9}" name="Percentage de conformité" dataDxfId="317">
      <calculatedColumnFormula>(COUNTIF(H3:H6, "Oui")/COUNTA(H3:H6))*100</calculatedColumnFormula>
    </tableColumn>
    <tableColumn id="8" xr3:uid="{8237F3C7-D13F-4344-9942-FBB20CA44822}" name="Conformité" dataDxfId="316"/>
    <tableColumn id="9" xr3:uid="{55090D00-2D8E-4B30-9BAC-56C39A7435A3}" name="Plan d'Action en cas de Non-Conformité" dataDxfId="315"/>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8D86CD-36C3-49DC-85AE-87FD487FF8C7}" name="Table6" displayName="Table6" ref="A1:I76" totalsRowShown="0" headerRowDxfId="239" dataDxfId="238">
  <autoFilter ref="A1:I76" xr:uid="{1A8D86CD-36C3-49DC-85AE-87FD487FF8C7}">
    <filterColumn colId="1">
      <filters>
        <filter val="Décret-loi n° 2022-54 du 13 septembre 2022, relatif à la lutte contre les infractions se rapportant aux systèmes d’information et de communication"/>
        <filter val="LA LOI N° 94-36, du 24 février 1994, RELATIVE À LA PROPRIÉTÉ LITTÉRAIRE ET ARTISTIQUE,"/>
        <filter val="Loi n° 2000-84 du 24 août 2000, relative aux brevets d'invention"/>
        <filter val="Loi n° 2001—21 du 6 février 2001, relative à la protection des dessins et modèles industriels"/>
        <filter val="loi n° 66 – 12 du 14 février 1966 relative à la propriété littéraire et artistique (Abrogée)"/>
      </filters>
    </filterColumn>
  </autoFilter>
  <tableColumns count="9">
    <tableColumn id="11" xr3:uid="{3BD1654E-9736-45AB-9126-C1CA888DFB5C}" name="Loi" dataDxfId="237"/>
    <tableColumn id="2" xr3:uid="{D8372628-0A7C-4D4D-95E7-75A601947068}" name="N° Article" dataDxfId="236"/>
    <tableColumn id="3" xr3:uid="{843C134E-41EA-4541-A544-B9AE1A835F22}" name="Article" dataDxfId="235"/>
    <tableColumn id="7" xr3:uid="{30811C26-2D27-43EB-8B33-BADCC5089DE5}" name="Résumé" dataDxfId="234"/>
    <tableColumn id="6" xr3:uid="{C9EFA8FC-FFBC-4B13-A3AF-68971D9CFB93}" name="Applicabilité" dataDxfId="233"/>
    <tableColumn id="5" xr3:uid="{74CDD73E-8F76-40D0-89C1-9820D81B9C7B}" name="Justification si Non Applicable" dataDxfId="232"/>
    <tableColumn id="4" xr3:uid="{7F472D9F-55E4-4AFA-898F-0E74B76AD675}" name="Percentage de conformité" dataDxfId="231">
      <calculatedColumnFormula>(COUNTIF(G3:G44, "Oui")/COUNTA(G3:G44))*100</calculatedColumnFormula>
    </tableColumn>
    <tableColumn id="8" xr3:uid="{6FB5C62E-01A9-4DCD-A69A-D3955A7A7F25}" name="Conformité" dataDxfId="230"/>
    <tableColumn id="9" xr3:uid="{5E0BBB9A-059D-49CE-9447-3ADFF4E04C2A}" name="Plan d'Action en cas de Non-Conformité" dataDxfId="229"/>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7196FE-607A-40A3-89A7-5A9E14BA581E}" name="Table69" displayName="Table69" ref="A1:I39" totalsRowShown="0" headerRowDxfId="206" dataDxfId="205">
  <autoFilter ref="A1:I39" xr:uid="{1A8D86CD-36C3-49DC-85AE-87FD487FF8C7}"/>
  <tableColumns count="9">
    <tableColumn id="11" xr3:uid="{7276E75F-964C-44C7-8695-4FF4A568A595}" name="Loi" dataDxfId="204"/>
    <tableColumn id="2" xr3:uid="{C4336117-E827-4C98-A2C0-AF272D49619B}" name="N° Article" dataDxfId="203"/>
    <tableColumn id="3" xr3:uid="{DD67C315-934C-456A-B385-3AD30F9C7B5E}" name="Article" dataDxfId="202"/>
    <tableColumn id="7" xr3:uid="{D42BF1F0-11D9-436A-B735-B1C66AE5BC10}" name="Résumé" dataDxfId="201"/>
    <tableColumn id="6" xr3:uid="{923156A5-F05D-44BF-9E01-EC1A41403A0B}" name="Applicabilité" dataDxfId="200"/>
    <tableColumn id="5" xr3:uid="{1D4A6973-0245-4A57-8D5A-54EA4AA0C545}" name="Justification si Non Applicable" dataDxfId="199"/>
    <tableColumn id="4" xr3:uid="{E391D9D2-9633-4E50-BB63-35F8386F1997}" name="Percentage de conformité" dataDxfId="198">
      <calculatedColumnFormula>(COUNTIF(G3:G39, "Oui")/COUNTA(G3:G39))*100</calculatedColumnFormula>
    </tableColumn>
    <tableColumn id="8" xr3:uid="{96815E29-E7FE-474E-B5F2-5819E359593D}" name="Conformité" dataDxfId="197"/>
    <tableColumn id="9" xr3:uid="{3913FFE7-F594-4126-9C61-75D032C7AAB3}" name="Plan d'Action en cas de Non-Conformité" dataDxfId="196"/>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DEC3BD-35DA-4716-909D-398BCD2B90A1}" name="Table4" displayName="Table4" ref="A1:I53" totalsRowShown="0" headerRowDxfId="84" dataDxfId="82" headerRowBorderDxfId="83">
  <autoFilter ref="A1:I53" xr:uid="{50DEC3BD-35DA-4716-909D-398BCD2B90A1}">
    <filterColumn colId="1">
      <filters>
        <filter val="Act sur la résilience opérationnelle numérique DORA  du secteur financier et modifiant les règlements (CE)"/>
        <filter val="Cyber Resilience Act"/>
        <filter val="Décret n° 2018-384 du 23 mai 2018 relatif à la sécurité des réseaux et systèmes d'information des opérateurs de services essentiels et des fournisseurs de service numérique"/>
        <filter val="Directive de NIS"/>
        <filter val="Loi de programation militaire"/>
        <filter val="Loi n° 2004-575 du 21 juin 2004 pour la confiance dans l'économie numérique (1)."/>
        <filter val="LOI n° 2024-449 du 21 mai 2024 visant à sécuriser et à réguler l'espace numérique (1)"/>
        <filter val="RÈGLEMENT (UE) 2019/881 DU PARLEMENT EUROPÉEN ET DU CONSEIL du 17 avril 2019 526/2013 (règlement sur la cybersécurité)  cybersecurity act"/>
        <filter val="RÈGLEMENT (UE) 2022/868 DU PARLEMENT EUROPÉEN ET DU CONSEIL du 30 mai 2022 portant sur la gouvernance européenne des données et modifiant le règlement (UE) 2018/1724 (règlement sur la gouvernance des données)"/>
      </filters>
    </filterColumn>
  </autoFilter>
  <tableColumns count="9">
    <tableColumn id="19" xr3:uid="{56745164-03AA-4B7F-B6F4-FF19E117B179}" name="Loi" dataDxfId="81"/>
    <tableColumn id="9" xr3:uid="{960E8D01-C972-47F4-A9E6-47E6995F818D}" name="N° Article" dataDxfId="80"/>
    <tableColumn id="2" xr3:uid="{1B68659D-152A-436A-9D17-100CF15FE8BA}" name="Article" dataDxfId="79"/>
    <tableColumn id="10" xr3:uid="{617B1BB0-EB5D-469F-A1EC-96E6ABBC6F04}" name="Résumé" dataDxfId="78"/>
    <tableColumn id="3" xr3:uid="{9D56B0E8-FFCC-47D8-9609-88E3B1FD168A}" name="Applicabilité" dataDxfId="77"/>
    <tableColumn id="4" xr3:uid="{E1C9A1BD-CB69-498A-92E8-9BCC6DC0DD88}" name="Justification si Non Applicable" dataDxfId="76"/>
    <tableColumn id="5" xr3:uid="{A97647FB-4417-4CEF-9920-288177A5C6FB}" name="Percentage de conformité" dataDxfId="75"/>
    <tableColumn id="6" xr3:uid="{D68838C7-732C-494C-A2D5-E346F5E56D39}" name="Conformité" dataDxfId="74"/>
    <tableColumn id="7" xr3:uid="{1283ACAA-1436-4D45-8370-082939106667}" name="Plan d'Action en cas de Non-Conformité" dataDxfId="73"/>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C676CA-474A-476F-87D5-E3A84367556C}" name="Table5" displayName="Table5" ref="B1:J37" totalsRowShown="0" headerRowDxfId="11" dataDxfId="10" tableBorderDxfId="9">
  <autoFilter ref="B1:J37" xr:uid="{2AC676CA-474A-476F-87D5-E3A84367556C}">
    <filterColumn colId="0">
      <customFilters>
        <customFilter operator="notEqual" val=" "/>
      </customFilters>
    </filterColumn>
    <filterColumn colId="1">
      <filters>
        <filter val="Code de la propriété intellectuelle"/>
        <filter val="Code du patrimoine"/>
        <filter val="Loi n° 2006-961 du 1 août 2006 relative au droit d'auteur et aux droits voisins dans la société de l'information (1)."/>
        <filter val="LOI n° 2009-669 du 12 juin 2009 favorisant la diffusion et la protection de la création sur internet (1)"/>
      </filters>
    </filterColumn>
  </autoFilter>
  <tableColumns count="9">
    <tableColumn id="1" xr3:uid="{B5892233-930F-4D7C-A1D1-9BBE91AEAB8C}" name="Loi" dataDxfId="8"/>
    <tableColumn id="2" xr3:uid="{FB31A48A-35AB-4FFE-84FB-A924718D4B33}" name="N° Article" dataDxfId="7"/>
    <tableColumn id="3" xr3:uid="{E21B34E3-05E0-4F03-BCA8-5746495048FA}" name="Article" dataDxfId="6"/>
    <tableColumn id="4" xr3:uid="{488B9B6D-645D-4FC0-8591-0A8E8B892E29}" name="Résumé" dataDxfId="5"/>
    <tableColumn id="5" xr3:uid="{D63F1BFC-05A3-4D30-98EE-E928C5F1548F}" name="Applicabilité" dataDxfId="4"/>
    <tableColumn id="6" xr3:uid="{0A5DA026-9253-4B8C-98FC-962B07673483}" name="Justification si Non Applicable" dataDxfId="3"/>
    <tableColumn id="7" xr3:uid="{D2515DE5-2D82-43D0-86D5-BEA72E99179A}" name="Percentage de conformité" dataDxfId="2">
      <calculatedColumnFormula>(COUNTIF(H3:H28, "Oui")/COUNTA(H3:H28))*100</calculatedColumnFormula>
    </tableColumn>
    <tableColumn id="8" xr3:uid="{AA88FF5E-D107-4565-B71C-644F6892DAFF}" name="Conformité" dataDxfId="1"/>
    <tableColumn id="9" xr3:uid="{EAB94FBF-928E-4501-AE7E-995AF31EAEA1}" name="Plan d'Action en cas de Non-Conformité"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A2CD84-57B6-41B3-BBF5-6BACAFFD776C}">
  <we:reference id="wa200005669" version="2.0.0.0" store="en-GB" storeType="OMEX"/>
  <we:alternateReferences>
    <we:reference id="WA200005669"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ww.wipo.int/edocs/pubdocs/fr/copyright/120/wipo_pub_120_1967_02.pdf" TargetMode="External"/><Relationship Id="rId13" Type="http://schemas.openxmlformats.org/officeDocument/2006/relationships/hyperlink" Target="https://www.defense.gouv.fr/sites/default/files/cde_1/Livret%20de%20pr%C3%A9sentation%20de%20la%20Loi%20de%20programmation%20militaire%202024-2030%20%286%20avril%202023%29.pdf" TargetMode="External"/><Relationship Id="rId18" Type="http://schemas.openxmlformats.org/officeDocument/2006/relationships/hyperlink" Target="https://digital-strategy.ec.europa.eu/en/policies/cybersecurity-act" TargetMode="External"/><Relationship Id="rId26" Type="http://schemas.openxmlformats.org/officeDocument/2006/relationships/table" Target="../tables/table1.xml"/><Relationship Id="rId3" Type="http://schemas.openxmlformats.org/officeDocument/2006/relationships/hyperlink" Target="https://legislation-securite.tn/latest-laws/loi-n-2004-5-du-3-fevrier-2004-relative-a-la-securite-informatique/" TargetMode="External"/><Relationship Id="rId21" Type="http://schemas.openxmlformats.org/officeDocument/2006/relationships/hyperlink" Target="https://www.legifrance.gouv.fr/codes/texte_lc/LEGITEXT000006074236/" TargetMode="External"/><Relationship Id="rId7" Type="http://schemas.openxmlformats.org/officeDocument/2006/relationships/hyperlink" Target="https://www.droit-afrique.com/upload/doc/tunisie/Tunisie-Code-2011-penal.pdf" TargetMode="External"/><Relationship Id="rId12" Type="http://schemas.openxmlformats.org/officeDocument/2006/relationships/hyperlink" Target="https://www.africa-laws.org/Tunisia/Intellectual%20property%20law/Loi%20n%C2%B0%202001-21%20du%206%20f%C3%A9vrier%202001,%20relative%20%C3%A0%20la%20protection%20des%20dessins%20et%20mod%C3%A8les%20industriels.pdf" TargetMode="External"/><Relationship Id="rId17" Type="http://schemas.openxmlformats.org/officeDocument/2006/relationships/hyperlink" Target="https://digital-strategy.ec.europa.eu/en/policies/cyber-resilience-act" TargetMode="External"/><Relationship Id="rId25" Type="http://schemas.openxmlformats.org/officeDocument/2006/relationships/drawing" Target="../drawings/drawing1.xml"/><Relationship Id="rId2" Type="http://schemas.openxmlformats.org/officeDocument/2006/relationships/hyperlink" Target="https://www.ins.tn/sites/default/files/2020-04/Loi%2063-2004%20Fr.pdf" TargetMode="External"/><Relationship Id="rId16" Type="http://schemas.openxmlformats.org/officeDocument/2006/relationships/hyperlink" Target="https://eur-lex.europa.eu/legal-content/FR/LSU/?uri=oj:JOL_2022_333_R_0002" TargetMode="External"/><Relationship Id="rId20" Type="http://schemas.openxmlformats.org/officeDocument/2006/relationships/hyperlink" Target="https://www.legifrance.gouv.fr/loda/id/JORFTEXT000000266350" TargetMode="External"/><Relationship Id="rId1" Type="http://schemas.openxmlformats.org/officeDocument/2006/relationships/hyperlink" Target="https://legislation-securite.tn/latest-laws/decret-n-2007-3004-du-27-novembre-2007-fixant-les-conditions-et-les-procedures-de-declaration-et-dautorisation-pour-le-traitement-des-donnees-a-caractere-personnel/" TargetMode="External"/><Relationship Id="rId6" Type="http://schemas.openxmlformats.org/officeDocument/2006/relationships/hyperlink" Target="https://www.ancs.tn/sites/default/files/refancs/arretes-ancs/Arr&#234;t&#233;2023_labelsec_fr.pdf" TargetMode="External"/><Relationship Id="rId11" Type="http://schemas.openxmlformats.org/officeDocument/2006/relationships/hyperlink" Target="https://legislation-securite.tn/latest-laws/decret-loi-n-2022-54-du-13-septembre-2022-relatif-a-la-lutte-contre-les-infractions-se-rapportant-aux-systemes-dinformation-et-de-communication/" TargetMode="External"/><Relationship Id="rId24" Type="http://schemas.openxmlformats.org/officeDocument/2006/relationships/printerSettings" Target="../printerSettings/printerSettings1.bin"/><Relationship Id="rId5" Type="http://schemas.openxmlformats.org/officeDocument/2006/relationships/hyperlink" Target="https://legislation-securite.tn/latest-laws/decret-loi-n-2022-54-du-13-septembre-2022-relatif-a-la-lutte-contre-les-infractions-se-rapportant-aux-systemes-dinformation-et-de-communication/" TargetMode="External"/><Relationship Id="rId15" Type="http://schemas.openxmlformats.org/officeDocument/2006/relationships/hyperlink" Target="https://eur-lex.europa.eu/legal-content/FR/ALL/?uri=legissum:4653041" TargetMode="External"/><Relationship Id="rId23" Type="http://schemas.openxmlformats.org/officeDocument/2006/relationships/hyperlink" Target="http://www.legifrance.gouv.fr/%20legislation-securite.tn%20/JORT" TargetMode="External"/><Relationship Id="rId10" Type="http://schemas.openxmlformats.org/officeDocument/2006/relationships/hyperlink" Target="https://www.innorpi.tn/sites/default/files/inline-files/telechargement26%20%283%29.pdf" TargetMode="External"/><Relationship Id="rId19" Type="http://schemas.openxmlformats.org/officeDocument/2006/relationships/hyperlink" Target="https://www.legifrance.gouv.fr/codes/texte_lc/LEGITEXT000006069414/" TargetMode="External"/><Relationship Id="rId4" Type="http://schemas.openxmlformats.org/officeDocument/2006/relationships/hyperlink" Target="https://legislation-securite.tn/latest-laws/decret-loi-n-2023-17-du-11-mars-2023-relatif-a-la-cybersecurite/" TargetMode="External"/><Relationship Id="rId9" Type="http://schemas.openxmlformats.org/officeDocument/2006/relationships/hyperlink" Target="https://legislation-securite.tn/latest-laws/loi-n-94-36-du-24-fevrier-1994-relative-a-la-propriete-litteraire-et-artistique/" TargetMode="External"/><Relationship Id="rId14" Type="http://schemas.openxmlformats.org/officeDocument/2006/relationships/hyperlink" Target="https://www.legifrance.gouv.fr/loda/id/JORFTEXT000000801164" TargetMode="External"/><Relationship Id="rId22" Type="http://schemas.openxmlformats.org/officeDocument/2006/relationships/hyperlink" Target="https://www.legifrance.gouv.fr/loda/id/JORFTEXT000020735432" TargetMode="External"/><Relationship Id="rId2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C1AE8-F714-4E63-B327-206550F6D308}">
  <sheetPr>
    <tabColor theme="9" tint="-0.499984740745262"/>
  </sheetPr>
  <dimension ref="B13:K35"/>
  <sheetViews>
    <sheetView showGridLines="0" zoomScale="28" zoomScaleNormal="55" zoomScaleSheetLayoutView="191" workbookViewId="0">
      <selection activeCell="C20" sqref="C20"/>
    </sheetView>
  </sheetViews>
  <sheetFormatPr defaultColWidth="8.88671875" defaultRowHeight="14.4" x14ac:dyDescent="0.3"/>
  <cols>
    <col min="2" max="2" width="18.77734375" customWidth="1"/>
    <col min="3" max="3" width="81.109375" customWidth="1"/>
    <col min="8" max="8" width="23.6640625" customWidth="1"/>
    <col min="9" max="9" width="93.6640625" customWidth="1"/>
    <col min="10" max="10" width="94.5546875" customWidth="1"/>
  </cols>
  <sheetData>
    <row r="13" spans="2:11" ht="25.05" customHeight="1" x14ac:dyDescent="0.3">
      <c r="B13" s="96" t="s">
        <v>481</v>
      </c>
      <c r="C13" s="97" t="s">
        <v>482</v>
      </c>
      <c r="H13" s="93" t="s">
        <v>508</v>
      </c>
      <c r="I13" s="88" t="s">
        <v>487</v>
      </c>
      <c r="J13" s="87" t="s">
        <v>488</v>
      </c>
    </row>
    <row r="14" spans="2:11" ht="25.05" customHeight="1" x14ac:dyDescent="0.3">
      <c r="B14" s="94" t="s">
        <v>483</v>
      </c>
      <c r="C14" s="95" t="s">
        <v>484</v>
      </c>
      <c r="H14" t="s">
        <v>509</v>
      </c>
      <c r="I14" s="90" t="s">
        <v>490</v>
      </c>
      <c r="J14" s="91" t="s">
        <v>489</v>
      </c>
      <c r="K14" t="s">
        <v>493</v>
      </c>
    </row>
    <row r="15" spans="2:11" ht="25.05" customHeight="1" x14ac:dyDescent="0.3">
      <c r="B15" s="94" t="s">
        <v>479</v>
      </c>
      <c r="C15" s="95" t="s">
        <v>511</v>
      </c>
      <c r="H15" t="s">
        <v>509</v>
      </c>
      <c r="I15" s="90" t="s">
        <v>375</v>
      </c>
      <c r="J15" s="91" t="s">
        <v>491</v>
      </c>
    </row>
    <row r="16" spans="2:11" ht="25.05" customHeight="1" x14ac:dyDescent="0.3">
      <c r="B16" s="94" t="s">
        <v>480</v>
      </c>
      <c r="C16" s="95" t="s">
        <v>758</v>
      </c>
      <c r="H16" t="s">
        <v>509</v>
      </c>
      <c r="I16" s="90" t="s">
        <v>2</v>
      </c>
      <c r="J16" s="91" t="s">
        <v>2</v>
      </c>
      <c r="K16" t="s">
        <v>493</v>
      </c>
    </row>
    <row r="17" spans="2:11" ht="25.05" customHeight="1" x14ac:dyDescent="0.3">
      <c r="B17" s="94" t="s">
        <v>485</v>
      </c>
      <c r="C17" s="100">
        <v>45884</v>
      </c>
      <c r="H17" t="s">
        <v>509</v>
      </c>
      <c r="I17" s="90" t="s">
        <v>3</v>
      </c>
      <c r="J17" s="91" t="s">
        <v>3</v>
      </c>
      <c r="K17" t="s">
        <v>493</v>
      </c>
    </row>
    <row r="18" spans="2:11" ht="25.05" customHeight="1" x14ac:dyDescent="0.3">
      <c r="B18" s="98" t="s">
        <v>486</v>
      </c>
      <c r="C18" s="99" t="s">
        <v>512</v>
      </c>
      <c r="H18" t="s">
        <v>509</v>
      </c>
      <c r="I18" s="90" t="s">
        <v>121</v>
      </c>
      <c r="J18" s="91" t="s">
        <v>121</v>
      </c>
      <c r="K18" t="s">
        <v>493</v>
      </c>
    </row>
    <row r="19" spans="2:11" ht="25.05" customHeight="1" x14ac:dyDescent="0.3">
      <c r="H19" t="s">
        <v>509</v>
      </c>
      <c r="I19" s="90" t="s">
        <v>376</v>
      </c>
      <c r="J19" s="91" t="s">
        <v>492</v>
      </c>
      <c r="K19" t="s">
        <v>493</v>
      </c>
    </row>
    <row r="20" spans="2:11" ht="25.05" customHeight="1" x14ac:dyDescent="0.3">
      <c r="H20" t="s">
        <v>509</v>
      </c>
      <c r="I20" s="90" t="s">
        <v>470</v>
      </c>
      <c r="J20" s="91" t="s">
        <v>470</v>
      </c>
    </row>
    <row r="21" spans="2:11" ht="25.05" customHeight="1" x14ac:dyDescent="0.3">
      <c r="H21" t="s">
        <v>509</v>
      </c>
      <c r="I21" s="90" t="s">
        <v>275</v>
      </c>
      <c r="J21" s="91" t="s">
        <v>494</v>
      </c>
    </row>
    <row r="22" spans="2:11" ht="25.05" customHeight="1" x14ac:dyDescent="0.3">
      <c r="H22" t="s">
        <v>509</v>
      </c>
      <c r="I22" s="90" t="s">
        <v>384</v>
      </c>
      <c r="J22" s="91" t="s">
        <v>384</v>
      </c>
    </row>
    <row r="23" spans="2:11" ht="25.05" customHeight="1" x14ac:dyDescent="0.3">
      <c r="H23" t="s">
        <v>509</v>
      </c>
      <c r="I23" s="90" t="s">
        <v>274</v>
      </c>
      <c r="J23" s="91" t="s">
        <v>274</v>
      </c>
    </row>
    <row r="24" spans="2:11" ht="25.05" customHeight="1" x14ac:dyDescent="0.3">
      <c r="H24" t="s">
        <v>509</v>
      </c>
      <c r="I24" s="90" t="s">
        <v>121</v>
      </c>
      <c r="J24" s="91" t="s">
        <v>495</v>
      </c>
    </row>
    <row r="25" spans="2:11" ht="25.05" customHeight="1" x14ac:dyDescent="0.3">
      <c r="H25" t="s">
        <v>509</v>
      </c>
      <c r="I25" s="90" t="s">
        <v>418</v>
      </c>
      <c r="J25" s="91" t="s">
        <v>496</v>
      </c>
    </row>
    <row r="26" spans="2:11" ht="25.05" customHeight="1" x14ac:dyDescent="0.3">
      <c r="H26" t="s">
        <v>510</v>
      </c>
      <c r="I26" s="90" t="s">
        <v>497</v>
      </c>
      <c r="J26" s="91" t="s">
        <v>498</v>
      </c>
    </row>
    <row r="27" spans="2:11" ht="25.05" customHeight="1" x14ac:dyDescent="0.3">
      <c r="H27" t="s">
        <v>510</v>
      </c>
      <c r="I27" s="90" t="s">
        <v>119</v>
      </c>
      <c r="J27" s="91" t="s">
        <v>499</v>
      </c>
    </row>
    <row r="28" spans="2:11" ht="25.05" customHeight="1" x14ac:dyDescent="0.3">
      <c r="H28" t="s">
        <v>510</v>
      </c>
      <c r="I28" s="90" t="s">
        <v>241</v>
      </c>
      <c r="J28" s="91" t="s">
        <v>500</v>
      </c>
    </row>
    <row r="29" spans="2:11" ht="25.05" customHeight="1" x14ac:dyDescent="0.3">
      <c r="H29" t="s">
        <v>510</v>
      </c>
      <c r="I29" s="90" t="s">
        <v>242</v>
      </c>
      <c r="J29" s="91" t="s">
        <v>501</v>
      </c>
    </row>
    <row r="30" spans="2:11" ht="25.05" customHeight="1" x14ac:dyDescent="0.3">
      <c r="H30" t="s">
        <v>510</v>
      </c>
      <c r="I30" s="90" t="s">
        <v>243</v>
      </c>
      <c r="J30" s="91" t="s">
        <v>502</v>
      </c>
    </row>
    <row r="31" spans="2:11" ht="25.05" customHeight="1" x14ac:dyDescent="0.3">
      <c r="H31" t="s">
        <v>510</v>
      </c>
      <c r="I31" s="90" t="s">
        <v>273</v>
      </c>
      <c r="J31" s="91" t="s">
        <v>503</v>
      </c>
    </row>
    <row r="32" spans="2:11" ht="25.05" customHeight="1" x14ac:dyDescent="0.3">
      <c r="H32" t="s">
        <v>510</v>
      </c>
      <c r="I32" s="90" t="s">
        <v>358</v>
      </c>
      <c r="J32" s="91" t="s">
        <v>504</v>
      </c>
    </row>
    <row r="33" spans="8:10" ht="25.05" customHeight="1" x14ac:dyDescent="0.3">
      <c r="H33" t="s">
        <v>510</v>
      </c>
      <c r="I33" s="90" t="s">
        <v>404</v>
      </c>
      <c r="J33" s="91" t="s">
        <v>505</v>
      </c>
    </row>
    <row r="34" spans="8:10" ht="25.05" customHeight="1" x14ac:dyDescent="0.3">
      <c r="H34" t="s">
        <v>510</v>
      </c>
      <c r="I34" s="90" t="s">
        <v>405</v>
      </c>
      <c r="J34" s="91" t="s">
        <v>506</v>
      </c>
    </row>
    <row r="35" spans="8:10" ht="25.05" customHeight="1" x14ac:dyDescent="0.3">
      <c r="H35" t="s">
        <v>510</v>
      </c>
      <c r="I35" s="89" t="s">
        <v>406</v>
      </c>
      <c r="J35" s="92" t="s">
        <v>507</v>
      </c>
    </row>
  </sheetData>
  <phoneticPr fontId="4" type="noConversion"/>
  <hyperlinks>
    <hyperlink ref="J14" r:id="rId1" xr:uid="{CC449E86-BBA7-4B10-B6BD-EC03B236BC09}"/>
    <hyperlink ref="J15" r:id="rId2" xr:uid="{486193B4-4B64-41F5-B680-0737DC930F4B}"/>
    <hyperlink ref="J16" r:id="rId3" xr:uid="{FFE0236D-CE5A-43A0-B23B-88F61F6E219A}"/>
    <hyperlink ref="J17" r:id="rId4" xr:uid="{CB8466DD-1188-4592-8545-840F8B1F995A}"/>
    <hyperlink ref="J18" r:id="rId5" xr:uid="{77BB83DA-087D-4EF0-B62B-5879224D5637}"/>
    <hyperlink ref="J19" r:id="rId6" xr:uid="{32FA7CDC-17ED-4ACB-935B-3EA9BB05B4D7}"/>
    <hyperlink ref="J20" r:id="rId7" xr:uid="{88D55DEC-8CDA-4C1D-93B8-7C3BB6C47F6D}"/>
    <hyperlink ref="J21" r:id="rId8" xr:uid="{D2D60230-4E29-4DBD-A49F-CFE6D2DA2D0F}"/>
    <hyperlink ref="J22" r:id="rId9" xr:uid="{AE3960E4-E6DC-474C-8683-543BED0B22BE}"/>
    <hyperlink ref="J23" r:id="rId10" xr:uid="{95133098-7AFF-4517-91A8-478C2BF53CB3}"/>
    <hyperlink ref="J24" r:id="rId11" xr:uid="{878908D1-9430-4040-B9A2-CAB2226E2303}"/>
    <hyperlink ref="J25" r:id="rId12" display="Loi n° 2001—21 du 6 février 2001" xr:uid="{3EA50A98-8D14-4FAF-9935-E4AFC9ADE8FA}"/>
    <hyperlink ref="J26" r:id="rId13" xr:uid="{A5462A53-03F2-40A3-B2EB-E89642FDE7FC}"/>
    <hyperlink ref="J27" r:id="rId14" xr:uid="{A642285E-04BF-4BCF-AA67-612B38C4F7E6}"/>
    <hyperlink ref="J28" r:id="rId15" xr:uid="{A5539DD0-29E7-4118-B136-34C67AA57F23}"/>
    <hyperlink ref="J29" r:id="rId16" xr:uid="{2746D2F6-BB72-4554-9AE1-35808F3A3935}"/>
    <hyperlink ref="J30" r:id="rId17" xr:uid="{45C8A7C0-0725-40B1-B979-D0EAC5EDD5E1}"/>
    <hyperlink ref="J31" r:id="rId18" xr:uid="{AEC368E5-1CC9-475D-BFAE-127763D3D8C2}"/>
    <hyperlink ref="J32" r:id="rId19" xr:uid="{05428568-9228-4D78-B3A6-E1F3C4981F15}"/>
    <hyperlink ref="J33" r:id="rId20" xr:uid="{AD6CE018-66C9-4723-9BDA-EC48322A56E8}"/>
    <hyperlink ref="J34" r:id="rId21" xr:uid="{D6E6C0F4-B865-43C3-B6DC-2AF363912918}"/>
    <hyperlink ref="J35" r:id="rId22" xr:uid="{144260FA-16C2-4491-8089-4622273A7A4E}"/>
    <hyperlink ref="C18" r:id="rId23" display="www.legifrance.gouv.fr/ legislation-securite.tn /JORT" xr:uid="{F2DE3BE4-1D3A-469F-83B0-FBA294F3AA27}"/>
  </hyperlinks>
  <pageMargins left="0.7" right="0.7" top="0.75" bottom="0.75" header="0.3" footer="0.3"/>
  <pageSetup paperSize="9" orientation="portrait" r:id="rId24"/>
  <drawing r:id="rId25"/>
  <tableParts count="2">
    <tablePart r:id="rId26"/>
    <tablePart r:id="rId2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A177"/>
  <sheetViews>
    <sheetView tabSelected="1" zoomScale="43" zoomScaleNormal="22" workbookViewId="0">
      <selection activeCell="H2" sqref="H2"/>
    </sheetView>
  </sheetViews>
  <sheetFormatPr defaultColWidth="8.88671875" defaultRowHeight="14.4" x14ac:dyDescent="0.3"/>
  <cols>
    <col min="1" max="1" width="12.33203125" customWidth="1"/>
    <col min="2" max="2" width="27.109375" customWidth="1"/>
    <col min="3" max="3" width="106.77734375" customWidth="1"/>
    <col min="4" max="4" width="255.6640625" customWidth="1"/>
    <col min="5" max="5" width="33" customWidth="1"/>
    <col min="6" max="6" width="68.88671875" customWidth="1"/>
    <col min="7" max="7" width="49.5546875" customWidth="1"/>
    <col min="8" max="8" width="78.109375" customWidth="1"/>
    <col min="9" max="9" width="162.21875" customWidth="1"/>
  </cols>
  <sheetData>
    <row r="1" spans="1:9" s="62" customFormat="1" ht="32.4" x14ac:dyDescent="0.6">
      <c r="A1" s="117" t="s">
        <v>0</v>
      </c>
      <c r="B1" s="117" t="s">
        <v>7</v>
      </c>
      <c r="C1" s="117" t="s">
        <v>1</v>
      </c>
      <c r="D1" s="117" t="s">
        <v>372</v>
      </c>
      <c r="E1" s="117" t="s">
        <v>371</v>
      </c>
      <c r="F1" s="117" t="s">
        <v>4</v>
      </c>
      <c r="G1" s="117" t="s">
        <v>767</v>
      </c>
      <c r="H1" s="117" t="s">
        <v>766</v>
      </c>
      <c r="I1" s="117" t="s">
        <v>5</v>
      </c>
    </row>
    <row r="2" spans="1:9" ht="25.05" customHeight="1" x14ac:dyDescent="0.3">
      <c r="A2" s="28" t="s">
        <v>374</v>
      </c>
      <c r="B2" s="44" t="s">
        <v>374</v>
      </c>
      <c r="C2" s="42"/>
      <c r="D2" s="42"/>
      <c r="E2" s="42"/>
      <c r="F2" s="42"/>
      <c r="G2" s="125">
        <f>(COUNTIF(G3:G10, "Oui")/COUNTA(G3:G10))*100</f>
        <v>25</v>
      </c>
      <c r="H2" s="120" t="s">
        <v>761</v>
      </c>
      <c r="I2" s="42"/>
    </row>
    <row r="3" spans="1:9" ht="100.8" hidden="1" customHeight="1" x14ac:dyDescent="0.3">
      <c r="A3" s="28" t="s">
        <v>374</v>
      </c>
      <c r="B3" s="26" t="s">
        <v>8</v>
      </c>
      <c r="C3" s="119" t="s">
        <v>13</v>
      </c>
      <c r="D3" s="119" t="s">
        <v>26</v>
      </c>
      <c r="E3" s="120" t="s">
        <v>513</v>
      </c>
      <c r="F3" s="7"/>
      <c r="G3" s="120" t="s">
        <v>493</v>
      </c>
      <c r="H3" s="147"/>
      <c r="I3" s="7"/>
    </row>
    <row r="4" spans="1:9" ht="78" hidden="1" x14ac:dyDescent="0.3">
      <c r="A4" s="28" t="s">
        <v>374</v>
      </c>
      <c r="B4" s="27" t="s">
        <v>9</v>
      </c>
      <c r="C4" s="35" t="s">
        <v>18</v>
      </c>
      <c r="D4" s="35" t="s">
        <v>27</v>
      </c>
      <c r="E4" s="120" t="s">
        <v>466</v>
      </c>
      <c r="F4" s="21"/>
      <c r="G4" s="120" t="s">
        <v>468</v>
      </c>
      <c r="H4" s="146"/>
      <c r="I4" s="21"/>
    </row>
    <row r="5" spans="1:9" ht="46.8" hidden="1" x14ac:dyDescent="0.3">
      <c r="A5" s="28" t="s">
        <v>374</v>
      </c>
      <c r="B5" s="26" t="s">
        <v>10</v>
      </c>
      <c r="C5" s="119" t="s">
        <v>19</v>
      </c>
      <c r="D5" s="119" t="s">
        <v>28</v>
      </c>
      <c r="E5" s="120" t="s">
        <v>466</v>
      </c>
      <c r="F5" s="7"/>
      <c r="G5" s="120" t="s">
        <v>493</v>
      </c>
      <c r="H5" s="146"/>
      <c r="I5" s="7"/>
    </row>
    <row r="6" spans="1:9" ht="155.4" hidden="1" customHeight="1" x14ac:dyDescent="0.3">
      <c r="A6" s="28" t="s">
        <v>374</v>
      </c>
      <c r="B6" s="27" t="s">
        <v>11</v>
      </c>
      <c r="C6" s="35" t="s">
        <v>20</v>
      </c>
      <c r="D6" s="35" t="s">
        <v>29</v>
      </c>
      <c r="E6" s="120" t="s">
        <v>466</v>
      </c>
      <c r="F6" s="21"/>
      <c r="G6" s="120" t="s">
        <v>467</v>
      </c>
      <c r="H6" s="146"/>
      <c r="I6" s="21"/>
    </row>
    <row r="7" spans="1:9" ht="312" hidden="1" x14ac:dyDescent="0.3">
      <c r="A7" s="28" t="s">
        <v>374</v>
      </c>
      <c r="B7" s="26" t="s">
        <v>12</v>
      </c>
      <c r="C7" s="119" t="s">
        <v>21</v>
      </c>
      <c r="D7" s="119" t="s">
        <v>122</v>
      </c>
      <c r="E7" s="120" t="s">
        <v>466</v>
      </c>
      <c r="F7" s="7"/>
      <c r="G7" s="120" t="s">
        <v>468</v>
      </c>
      <c r="H7" s="146"/>
      <c r="I7" s="7"/>
    </row>
    <row r="8" spans="1:9" ht="240.6" hidden="1" customHeight="1" x14ac:dyDescent="0.3">
      <c r="A8" s="28" t="s">
        <v>374</v>
      </c>
      <c r="B8" s="27" t="s">
        <v>14</v>
      </c>
      <c r="C8" s="35" t="s">
        <v>22</v>
      </c>
      <c r="D8" s="35" t="s">
        <v>30</v>
      </c>
      <c r="E8" s="120" t="s">
        <v>466</v>
      </c>
      <c r="F8" s="21"/>
      <c r="G8" s="120" t="s">
        <v>493</v>
      </c>
      <c r="H8" s="146"/>
      <c r="I8" s="21"/>
    </row>
    <row r="9" spans="1:9" ht="218.4" hidden="1" x14ac:dyDescent="0.3">
      <c r="A9" s="28" t="s">
        <v>374</v>
      </c>
      <c r="B9" s="26" t="s">
        <v>15</v>
      </c>
      <c r="C9" s="119" t="s">
        <v>23</v>
      </c>
      <c r="D9" s="119" t="s">
        <v>31</v>
      </c>
      <c r="E9" s="120" t="s">
        <v>466</v>
      </c>
      <c r="F9" s="7"/>
      <c r="G9" s="120" t="s">
        <v>493</v>
      </c>
      <c r="H9" s="146"/>
      <c r="I9" s="7"/>
    </row>
    <row r="10" spans="1:9" ht="149.4" hidden="1" customHeight="1" x14ac:dyDescent="0.3">
      <c r="A10" s="28" t="s">
        <v>374</v>
      </c>
      <c r="B10" s="27" t="s">
        <v>17</v>
      </c>
      <c r="C10" s="122" t="s">
        <v>24</v>
      </c>
      <c r="D10" s="122" t="s">
        <v>32</v>
      </c>
      <c r="E10" s="132" t="s">
        <v>466</v>
      </c>
      <c r="F10" s="10"/>
      <c r="G10" s="120" t="s">
        <v>493</v>
      </c>
      <c r="H10" s="146"/>
      <c r="I10" s="10"/>
    </row>
    <row r="11" spans="1:9" ht="25.8" x14ac:dyDescent="0.3">
      <c r="A11" s="28" t="s">
        <v>375</v>
      </c>
      <c r="B11" s="44" t="s">
        <v>375</v>
      </c>
      <c r="C11" s="121"/>
      <c r="D11" s="121"/>
      <c r="E11" s="121"/>
      <c r="F11" s="45"/>
      <c r="G11" s="125">
        <f>(COUNTIF(G12:G72, "Oui")/COUNTA(G12:G72)+Table2[[#This Row],[Justification si Non Applicable]])*100</f>
        <v>0</v>
      </c>
      <c r="H11" s="120" t="s">
        <v>762</v>
      </c>
      <c r="I11" s="45"/>
    </row>
    <row r="12" spans="1:9" ht="160.80000000000001" hidden="1" customHeight="1" x14ac:dyDescent="0.3">
      <c r="A12" s="28" t="s">
        <v>375</v>
      </c>
      <c r="B12" s="27" t="s">
        <v>33</v>
      </c>
      <c r="C12" s="122" t="s">
        <v>25</v>
      </c>
      <c r="D12" s="122" t="s">
        <v>123</v>
      </c>
      <c r="E12" s="120" t="s">
        <v>466</v>
      </c>
      <c r="F12" s="9"/>
      <c r="G12" s="120" t="s">
        <v>493</v>
      </c>
      <c r="H12" s="146"/>
      <c r="I12" s="21"/>
    </row>
    <row r="13" spans="1:9" ht="409.2" hidden="1" customHeight="1" x14ac:dyDescent="0.3">
      <c r="A13" s="28" t="s">
        <v>375</v>
      </c>
      <c r="B13" s="26" t="s">
        <v>34</v>
      </c>
      <c r="C13" s="74" t="s">
        <v>66</v>
      </c>
      <c r="D13" s="74" t="s">
        <v>124</v>
      </c>
      <c r="E13" s="120" t="s">
        <v>466</v>
      </c>
      <c r="F13" s="7"/>
      <c r="G13" s="120" t="s">
        <v>493</v>
      </c>
      <c r="H13" s="146"/>
      <c r="I13" s="7"/>
    </row>
    <row r="14" spans="1:9" s="6" customFormat="1" ht="93.6" hidden="1" x14ac:dyDescent="0.3">
      <c r="A14" s="28" t="s">
        <v>375</v>
      </c>
      <c r="B14" s="27" t="s">
        <v>35</v>
      </c>
      <c r="C14" s="122" t="s">
        <v>67</v>
      </c>
      <c r="D14" s="122" t="s">
        <v>125</v>
      </c>
      <c r="E14" s="132" t="s">
        <v>466</v>
      </c>
      <c r="F14" s="21"/>
      <c r="G14" s="120" t="s">
        <v>493</v>
      </c>
      <c r="H14" s="146"/>
      <c r="I14" s="21"/>
    </row>
    <row r="15" spans="1:9" ht="46.8" hidden="1" x14ac:dyDescent="0.3">
      <c r="A15" s="28" t="s">
        <v>375</v>
      </c>
      <c r="B15" s="26" t="s">
        <v>36</v>
      </c>
      <c r="C15" s="74" t="s">
        <v>73</v>
      </c>
      <c r="D15" s="74"/>
      <c r="E15" s="120" t="s">
        <v>466</v>
      </c>
      <c r="F15" s="7"/>
      <c r="G15" s="120" t="s">
        <v>493</v>
      </c>
      <c r="H15" s="146"/>
      <c r="I15" s="7"/>
    </row>
    <row r="16" spans="1:9" s="6" customFormat="1" ht="62.4" hidden="1" x14ac:dyDescent="0.3">
      <c r="A16" s="28" t="s">
        <v>375</v>
      </c>
      <c r="B16" s="27" t="s">
        <v>37</v>
      </c>
      <c r="C16" s="122" t="s">
        <v>75</v>
      </c>
      <c r="D16" s="122" t="s">
        <v>126</v>
      </c>
      <c r="E16" s="132" t="s">
        <v>466</v>
      </c>
      <c r="F16" s="21"/>
      <c r="G16" s="120" t="s">
        <v>493</v>
      </c>
      <c r="H16" s="146"/>
      <c r="I16" s="21"/>
    </row>
    <row r="17" spans="1:27" ht="93.6" hidden="1" x14ac:dyDescent="0.3">
      <c r="A17" s="28" t="s">
        <v>375</v>
      </c>
      <c r="B17" s="26" t="s">
        <v>38</v>
      </c>
      <c r="C17" s="74" t="s">
        <v>74</v>
      </c>
      <c r="D17" s="74" t="s">
        <v>127</v>
      </c>
      <c r="E17" s="120" t="s">
        <v>466</v>
      </c>
      <c r="F17" s="7"/>
      <c r="G17" s="120" t="s">
        <v>493</v>
      </c>
      <c r="H17" s="146"/>
      <c r="I17" s="7"/>
    </row>
    <row r="18" spans="1:27" s="6" customFormat="1" ht="46.8" hidden="1" x14ac:dyDescent="0.3">
      <c r="A18" s="28" t="s">
        <v>375</v>
      </c>
      <c r="B18" s="27" t="s">
        <v>39</v>
      </c>
      <c r="C18" s="122" t="s">
        <v>68</v>
      </c>
      <c r="D18" s="122"/>
      <c r="E18" s="132" t="s">
        <v>466</v>
      </c>
      <c r="F18" s="21"/>
      <c r="G18" s="120" t="s">
        <v>493</v>
      </c>
      <c r="H18" s="146"/>
      <c r="I18" s="21"/>
    </row>
    <row r="19" spans="1:27" ht="171.6" hidden="1" x14ac:dyDescent="0.3">
      <c r="A19" s="28" t="s">
        <v>375</v>
      </c>
      <c r="B19" s="26" t="s">
        <v>40</v>
      </c>
      <c r="C19" s="74" t="s">
        <v>514</v>
      </c>
      <c r="D19" s="74" t="s">
        <v>128</v>
      </c>
      <c r="E19" s="120" t="s">
        <v>466</v>
      </c>
      <c r="F19" s="7"/>
      <c r="G19" s="120" t="s">
        <v>493</v>
      </c>
      <c r="H19" s="146"/>
      <c r="I19" s="7"/>
    </row>
    <row r="20" spans="1:27" s="6" customFormat="1" ht="140.4" hidden="1" x14ac:dyDescent="0.3">
      <c r="A20" s="28" t="s">
        <v>375</v>
      </c>
      <c r="B20" s="27" t="s">
        <v>41</v>
      </c>
      <c r="C20" s="122" t="s">
        <v>69</v>
      </c>
      <c r="D20" s="122" t="s">
        <v>129</v>
      </c>
      <c r="E20" s="132" t="s">
        <v>466</v>
      </c>
      <c r="F20" s="21"/>
      <c r="G20" s="120" t="s">
        <v>493</v>
      </c>
      <c r="H20" s="146"/>
      <c r="I20" s="21"/>
    </row>
    <row r="21" spans="1:27" ht="46.8" hidden="1" x14ac:dyDescent="0.3">
      <c r="A21" s="28" t="s">
        <v>375</v>
      </c>
      <c r="B21" s="26" t="s">
        <v>42</v>
      </c>
      <c r="C21" s="119" t="s">
        <v>70</v>
      </c>
      <c r="D21" s="119" t="s">
        <v>130</v>
      </c>
      <c r="E21" s="120" t="s">
        <v>466</v>
      </c>
      <c r="F21" s="7"/>
      <c r="G21" s="120" t="s">
        <v>493</v>
      </c>
      <c r="H21" s="146"/>
      <c r="I21" s="7"/>
    </row>
    <row r="22" spans="1:27" s="6" customFormat="1" ht="78" hidden="1" x14ac:dyDescent="0.3">
      <c r="A22" s="28" t="s">
        <v>375</v>
      </c>
      <c r="B22" s="27" t="s">
        <v>43</v>
      </c>
      <c r="C22" s="35" t="s">
        <v>71</v>
      </c>
      <c r="D22" s="35" t="s">
        <v>131</v>
      </c>
      <c r="E22" s="132" t="s">
        <v>466</v>
      </c>
      <c r="F22" s="21"/>
      <c r="G22" s="120" t="s">
        <v>493</v>
      </c>
      <c r="H22" s="146"/>
      <c r="I22" s="21"/>
    </row>
    <row r="23" spans="1:27" ht="249.6" hidden="1" x14ac:dyDescent="0.3">
      <c r="A23" s="28" t="s">
        <v>375</v>
      </c>
      <c r="B23" s="26" t="s">
        <v>44</v>
      </c>
      <c r="C23" s="119" t="s">
        <v>72</v>
      </c>
      <c r="D23" s="119" t="s">
        <v>132</v>
      </c>
      <c r="E23" s="120" t="s">
        <v>466</v>
      </c>
      <c r="F23" s="7"/>
      <c r="G23" s="120" t="s">
        <v>493</v>
      </c>
      <c r="H23" s="146"/>
      <c r="I23" s="7"/>
    </row>
    <row r="24" spans="1:27" s="6" customFormat="1" ht="109.2" hidden="1" x14ac:dyDescent="0.3">
      <c r="A24" s="28" t="s">
        <v>375</v>
      </c>
      <c r="B24" s="27" t="s">
        <v>45</v>
      </c>
      <c r="C24" s="35" t="s">
        <v>515</v>
      </c>
      <c r="D24" s="35" t="s">
        <v>133</v>
      </c>
      <c r="E24" s="132" t="s">
        <v>466</v>
      </c>
      <c r="F24" s="21"/>
      <c r="G24" s="120" t="s">
        <v>493</v>
      </c>
      <c r="H24" s="146"/>
      <c r="I24" s="21"/>
    </row>
    <row r="25" spans="1:27" ht="140.4" hidden="1" x14ac:dyDescent="0.3">
      <c r="A25" s="28" t="s">
        <v>375</v>
      </c>
      <c r="B25" s="26" t="s">
        <v>46</v>
      </c>
      <c r="C25" s="119" t="s">
        <v>76</v>
      </c>
      <c r="D25" s="119" t="s">
        <v>134</v>
      </c>
      <c r="E25" s="120" t="s">
        <v>466</v>
      </c>
      <c r="F25" s="7"/>
      <c r="G25" s="120" t="s">
        <v>493</v>
      </c>
      <c r="H25" s="146"/>
      <c r="I25" s="7"/>
    </row>
    <row r="26" spans="1:27" s="6" customFormat="1" ht="109.2" hidden="1" x14ac:dyDescent="0.3">
      <c r="A26" s="28" t="s">
        <v>375</v>
      </c>
      <c r="B26" s="27" t="s">
        <v>47</v>
      </c>
      <c r="C26" s="35" t="s">
        <v>77</v>
      </c>
      <c r="D26" s="35" t="s">
        <v>135</v>
      </c>
      <c r="E26" s="132" t="s">
        <v>466</v>
      </c>
      <c r="F26" s="21"/>
      <c r="G26" s="120" t="s">
        <v>493</v>
      </c>
      <c r="H26" s="146"/>
      <c r="I26" s="21"/>
    </row>
    <row r="27" spans="1:27" ht="62.4" hidden="1" x14ac:dyDescent="0.3">
      <c r="A27" s="28" t="s">
        <v>375</v>
      </c>
      <c r="B27" s="26" t="s">
        <v>48</v>
      </c>
      <c r="C27" s="119" t="s">
        <v>78</v>
      </c>
      <c r="D27" s="119" t="s">
        <v>136</v>
      </c>
      <c r="E27" s="120" t="s">
        <v>466</v>
      </c>
      <c r="F27" s="7"/>
      <c r="G27" s="120" t="s">
        <v>493</v>
      </c>
      <c r="H27" s="146"/>
      <c r="I27" s="7"/>
    </row>
    <row r="28" spans="1:27" s="6" customFormat="1" ht="156" hidden="1" x14ac:dyDescent="0.3">
      <c r="A28" s="28" t="s">
        <v>375</v>
      </c>
      <c r="B28" s="27" t="s">
        <v>49</v>
      </c>
      <c r="C28" s="35" t="s">
        <v>79</v>
      </c>
      <c r="D28" s="35" t="s">
        <v>137</v>
      </c>
      <c r="E28" s="132" t="s">
        <v>466</v>
      </c>
      <c r="F28" s="21"/>
      <c r="G28" s="120" t="s">
        <v>493</v>
      </c>
      <c r="H28" s="146"/>
      <c r="I28" s="21"/>
    </row>
    <row r="29" spans="1:27" ht="78" hidden="1" x14ac:dyDescent="0.3">
      <c r="A29" s="28" t="s">
        <v>375</v>
      </c>
      <c r="B29" s="26" t="s">
        <v>50</v>
      </c>
      <c r="C29" s="119" t="s">
        <v>80</v>
      </c>
      <c r="D29" s="119" t="s">
        <v>138</v>
      </c>
      <c r="E29" s="120" t="s">
        <v>466</v>
      </c>
      <c r="F29" s="7"/>
      <c r="G29" s="120" t="s">
        <v>493</v>
      </c>
      <c r="H29" s="146"/>
      <c r="I29" s="7"/>
    </row>
    <row r="30" spans="1:27" s="6" customFormat="1" ht="78" hidden="1" x14ac:dyDescent="0.3">
      <c r="A30" s="28" t="s">
        <v>375</v>
      </c>
      <c r="B30" s="27" t="s">
        <v>51</v>
      </c>
      <c r="C30" s="122" t="s">
        <v>81</v>
      </c>
      <c r="D30" s="122" t="s">
        <v>139</v>
      </c>
      <c r="E30" s="132" t="s">
        <v>516</v>
      </c>
      <c r="F30" s="21" t="s">
        <v>752</v>
      </c>
      <c r="G30" s="120" t="s">
        <v>493</v>
      </c>
      <c r="H30" s="146"/>
      <c r="I30" s="21"/>
      <c r="Z30" s="13"/>
      <c r="AA30" s="14"/>
    </row>
    <row r="31" spans="1:27" ht="124.8" hidden="1" x14ac:dyDescent="0.3">
      <c r="A31" s="28" t="s">
        <v>375</v>
      </c>
      <c r="B31" s="26" t="s">
        <v>52</v>
      </c>
      <c r="C31" s="74" t="s">
        <v>82</v>
      </c>
      <c r="D31" s="74" t="s">
        <v>140</v>
      </c>
      <c r="E31" s="120" t="s">
        <v>466</v>
      </c>
      <c r="F31" s="7"/>
      <c r="G31" s="120" t="s">
        <v>493</v>
      </c>
      <c r="H31" s="146"/>
      <c r="I31" s="7"/>
      <c r="Z31" s="3"/>
      <c r="AA31" s="2"/>
    </row>
    <row r="32" spans="1:27" s="6" customFormat="1" ht="358.8" hidden="1" x14ac:dyDescent="0.3">
      <c r="A32" s="28" t="s">
        <v>375</v>
      </c>
      <c r="B32" s="27" t="s">
        <v>53</v>
      </c>
      <c r="C32" s="122" t="s">
        <v>83</v>
      </c>
      <c r="D32" s="122" t="s">
        <v>628</v>
      </c>
      <c r="E32" s="132" t="s">
        <v>466</v>
      </c>
      <c r="F32" s="21"/>
      <c r="G32" s="120" t="s">
        <v>493</v>
      </c>
      <c r="H32" s="146"/>
      <c r="I32" s="21"/>
      <c r="Z32" s="13"/>
      <c r="AA32" s="14"/>
    </row>
    <row r="33" spans="1:27" ht="114.6" hidden="1" customHeight="1" x14ac:dyDescent="0.3">
      <c r="A33" s="28" t="s">
        <v>375</v>
      </c>
      <c r="B33" s="26" t="s">
        <v>54</v>
      </c>
      <c r="C33" s="74" t="s">
        <v>98</v>
      </c>
      <c r="D33" s="74" t="s">
        <v>629</v>
      </c>
      <c r="E33" s="120" t="s">
        <v>466</v>
      </c>
      <c r="F33" s="7"/>
      <c r="G33" s="120" t="s">
        <v>493</v>
      </c>
      <c r="H33" s="146"/>
      <c r="I33" s="7"/>
      <c r="Z33" s="3"/>
      <c r="AA33" s="2"/>
    </row>
    <row r="34" spans="1:27" s="6" customFormat="1" ht="62.4" hidden="1" x14ac:dyDescent="0.3">
      <c r="A34" s="28" t="s">
        <v>375</v>
      </c>
      <c r="B34" s="27" t="s">
        <v>55</v>
      </c>
      <c r="C34" s="122" t="s">
        <v>99</v>
      </c>
      <c r="D34" s="122" t="s">
        <v>630</v>
      </c>
      <c r="E34" s="132" t="s">
        <v>466</v>
      </c>
      <c r="F34" s="21"/>
      <c r="G34" s="120" t="s">
        <v>493</v>
      </c>
      <c r="H34" s="146"/>
      <c r="I34" s="21"/>
      <c r="Z34" s="13"/>
      <c r="AA34" s="14"/>
    </row>
    <row r="35" spans="1:27" ht="93.6" hidden="1" x14ac:dyDescent="0.3">
      <c r="A35" s="28" t="s">
        <v>375</v>
      </c>
      <c r="B35" s="26" t="s">
        <v>56</v>
      </c>
      <c r="C35" s="74" t="s">
        <v>100</v>
      </c>
      <c r="D35" s="74" t="s">
        <v>631</v>
      </c>
      <c r="E35" s="120" t="s">
        <v>466</v>
      </c>
      <c r="F35" s="7"/>
      <c r="G35" s="120" t="s">
        <v>493</v>
      </c>
      <c r="H35" s="146"/>
      <c r="I35" s="7"/>
      <c r="Z35" s="3"/>
      <c r="AA35" s="2"/>
    </row>
    <row r="36" spans="1:27" ht="312" hidden="1" x14ac:dyDescent="0.3">
      <c r="A36" s="28" t="s">
        <v>375</v>
      </c>
      <c r="B36" s="27" t="s">
        <v>57</v>
      </c>
      <c r="C36" s="123" t="s">
        <v>84</v>
      </c>
      <c r="D36" s="122" t="s">
        <v>632</v>
      </c>
      <c r="E36" s="132" t="s">
        <v>466</v>
      </c>
      <c r="F36" s="21"/>
      <c r="G36" s="120" t="s">
        <v>493</v>
      </c>
      <c r="H36" s="146"/>
      <c r="I36" s="21"/>
      <c r="Z36" s="3"/>
      <c r="AA36" s="2"/>
    </row>
    <row r="37" spans="1:27" ht="62.4" hidden="1" x14ac:dyDescent="0.3">
      <c r="A37" s="28" t="s">
        <v>375</v>
      </c>
      <c r="B37" s="26" t="s">
        <v>58</v>
      </c>
      <c r="C37" s="74" t="s">
        <v>101</v>
      </c>
      <c r="D37" s="74" t="s">
        <v>633</v>
      </c>
      <c r="E37" s="120" t="s">
        <v>466</v>
      </c>
      <c r="F37" s="7"/>
      <c r="G37" s="120" t="s">
        <v>493</v>
      </c>
      <c r="H37" s="146"/>
      <c r="I37" s="7"/>
      <c r="Z37" s="3"/>
      <c r="AA37" s="2"/>
    </row>
    <row r="38" spans="1:27" s="6" customFormat="1" ht="171.6" hidden="1" x14ac:dyDescent="0.3">
      <c r="A38" s="28" t="s">
        <v>375</v>
      </c>
      <c r="B38" s="27" t="s">
        <v>59</v>
      </c>
      <c r="C38" s="122" t="s">
        <v>517</v>
      </c>
      <c r="D38" s="122" t="s">
        <v>634</v>
      </c>
      <c r="E38" s="132" t="s">
        <v>466</v>
      </c>
      <c r="F38" s="21"/>
      <c r="G38" s="120" t="s">
        <v>493</v>
      </c>
      <c r="H38" s="146"/>
      <c r="I38" s="21"/>
      <c r="Z38" s="13"/>
      <c r="AA38" s="14"/>
    </row>
    <row r="39" spans="1:27" ht="109.2" hidden="1" x14ac:dyDescent="0.3">
      <c r="A39" s="28" t="s">
        <v>375</v>
      </c>
      <c r="B39" s="26" t="s">
        <v>60</v>
      </c>
      <c r="C39" s="119" t="s">
        <v>518</v>
      </c>
      <c r="D39" s="119" t="s">
        <v>635</v>
      </c>
      <c r="E39" s="120" t="s">
        <v>466</v>
      </c>
      <c r="F39" s="7"/>
      <c r="G39" s="120" t="s">
        <v>493</v>
      </c>
      <c r="H39" s="146"/>
      <c r="I39" s="7"/>
      <c r="Z39" s="3"/>
      <c r="AA39" s="2"/>
    </row>
    <row r="40" spans="1:27" s="6" customFormat="1" ht="280.8" hidden="1" x14ac:dyDescent="0.3">
      <c r="A40" s="28" t="s">
        <v>375</v>
      </c>
      <c r="B40" s="27" t="s">
        <v>61</v>
      </c>
      <c r="C40" s="35" t="s">
        <v>102</v>
      </c>
      <c r="D40" s="35" t="s">
        <v>636</v>
      </c>
      <c r="E40" s="132" t="s">
        <v>466</v>
      </c>
      <c r="F40" s="21"/>
      <c r="G40" s="120" t="s">
        <v>493</v>
      </c>
      <c r="H40" s="146"/>
      <c r="I40" s="21"/>
      <c r="Z40" s="13"/>
      <c r="AA40" s="13"/>
    </row>
    <row r="41" spans="1:27" ht="156" hidden="1" x14ac:dyDescent="0.3">
      <c r="A41" s="28" t="s">
        <v>375</v>
      </c>
      <c r="B41" s="26" t="s">
        <v>62</v>
      </c>
      <c r="C41" s="123" t="s">
        <v>103</v>
      </c>
      <c r="D41" s="119" t="s">
        <v>637</v>
      </c>
      <c r="E41" s="120" t="s">
        <v>516</v>
      </c>
      <c r="F41" s="7"/>
      <c r="G41" s="120" t="s">
        <v>493</v>
      </c>
      <c r="H41" s="146"/>
      <c r="I41" s="7"/>
      <c r="Z41" s="3"/>
      <c r="AA41" s="2"/>
    </row>
    <row r="42" spans="1:27" s="6" customFormat="1" ht="82.8" hidden="1" customHeight="1" x14ac:dyDescent="0.3">
      <c r="A42" s="28" t="s">
        <v>375</v>
      </c>
      <c r="B42" s="27" t="s">
        <v>63</v>
      </c>
      <c r="C42" s="35" t="s">
        <v>519</v>
      </c>
      <c r="D42" s="35" t="s">
        <v>638</v>
      </c>
      <c r="E42" s="132" t="s">
        <v>466</v>
      </c>
      <c r="F42" s="21"/>
      <c r="G42" s="120" t="s">
        <v>493</v>
      </c>
      <c r="H42" s="146"/>
      <c r="I42" s="21"/>
      <c r="Z42" s="13"/>
      <c r="AA42" s="13"/>
    </row>
    <row r="43" spans="1:27" ht="124.8" hidden="1" x14ac:dyDescent="0.3">
      <c r="A43" s="28" t="s">
        <v>375</v>
      </c>
      <c r="B43" s="26" t="s">
        <v>64</v>
      </c>
      <c r="C43" s="119" t="s">
        <v>104</v>
      </c>
      <c r="D43" s="119" t="s">
        <v>639</v>
      </c>
      <c r="E43" s="120" t="s">
        <v>466</v>
      </c>
      <c r="F43" s="7"/>
      <c r="G43" s="120" t="s">
        <v>493</v>
      </c>
      <c r="H43" s="146"/>
      <c r="I43" s="7"/>
      <c r="Z43" s="3"/>
      <c r="AA43" s="2"/>
    </row>
    <row r="44" spans="1:27" s="6" customFormat="1" ht="109.2" hidden="1" x14ac:dyDescent="0.3">
      <c r="A44" s="28" t="s">
        <v>375</v>
      </c>
      <c r="B44" s="27" t="s">
        <v>65</v>
      </c>
      <c r="C44" s="35" t="s">
        <v>105</v>
      </c>
      <c r="D44" s="35" t="s">
        <v>640</v>
      </c>
      <c r="E44" s="132" t="s">
        <v>466</v>
      </c>
      <c r="F44" s="21"/>
      <c r="G44" s="120" t="s">
        <v>493</v>
      </c>
      <c r="H44" s="146"/>
      <c r="I44" s="21"/>
      <c r="Z44" s="13"/>
      <c r="AA44" s="14"/>
    </row>
    <row r="45" spans="1:27" ht="93.6" hidden="1" x14ac:dyDescent="0.3">
      <c r="A45" s="28" t="s">
        <v>375</v>
      </c>
      <c r="B45" s="26" t="s">
        <v>85</v>
      </c>
      <c r="C45" s="119" t="s">
        <v>106</v>
      </c>
      <c r="D45" s="119" t="s">
        <v>641</v>
      </c>
      <c r="E45" s="120" t="s">
        <v>466</v>
      </c>
      <c r="F45" s="7"/>
      <c r="G45" s="120" t="s">
        <v>493</v>
      </c>
      <c r="H45" s="146"/>
      <c r="I45" s="7"/>
      <c r="Z45" s="3"/>
      <c r="AA45" s="2"/>
    </row>
    <row r="46" spans="1:27" s="6" customFormat="1" ht="93.6" hidden="1" x14ac:dyDescent="0.3">
      <c r="A46" s="28" t="s">
        <v>375</v>
      </c>
      <c r="B46" s="27" t="s">
        <v>86</v>
      </c>
      <c r="C46" s="35" t="s">
        <v>107</v>
      </c>
      <c r="D46" s="35" t="s">
        <v>642</v>
      </c>
      <c r="E46" s="132" t="s">
        <v>466</v>
      </c>
      <c r="F46" s="21"/>
      <c r="G46" s="120" t="s">
        <v>493</v>
      </c>
      <c r="H46" s="146"/>
      <c r="I46" s="21"/>
      <c r="Z46" s="13"/>
      <c r="AA46" s="14"/>
    </row>
    <row r="47" spans="1:27" ht="140.4" hidden="1" x14ac:dyDescent="0.3">
      <c r="A47" s="28" t="s">
        <v>375</v>
      </c>
      <c r="B47" s="26" t="s">
        <v>87</v>
      </c>
      <c r="C47" s="119" t="s">
        <v>108</v>
      </c>
      <c r="D47" s="119" t="s">
        <v>643</v>
      </c>
      <c r="E47" s="120" t="s">
        <v>466</v>
      </c>
      <c r="F47" s="7"/>
      <c r="G47" s="120" t="s">
        <v>493</v>
      </c>
      <c r="H47" s="146"/>
      <c r="I47" s="7"/>
      <c r="Z47" s="3"/>
      <c r="AA47" s="2"/>
    </row>
    <row r="48" spans="1:27" s="6" customFormat="1" ht="46.8" hidden="1" x14ac:dyDescent="0.3">
      <c r="A48" s="28" t="s">
        <v>375</v>
      </c>
      <c r="B48" s="27" t="s">
        <v>88</v>
      </c>
      <c r="C48" s="122" t="s">
        <v>109</v>
      </c>
      <c r="D48" s="122" t="s">
        <v>644</v>
      </c>
      <c r="E48" s="132" t="s">
        <v>466</v>
      </c>
      <c r="F48" s="21"/>
      <c r="G48" s="120" t="s">
        <v>493</v>
      </c>
      <c r="H48" s="146"/>
      <c r="I48" s="21"/>
      <c r="Z48" s="13"/>
      <c r="AA48" s="14"/>
    </row>
    <row r="49" spans="1:27" ht="46.8" hidden="1" x14ac:dyDescent="0.3">
      <c r="A49" s="28" t="s">
        <v>375</v>
      </c>
      <c r="B49" s="26" t="s">
        <v>89</v>
      </c>
      <c r="C49" s="112" t="s">
        <v>110</v>
      </c>
      <c r="D49" s="74" t="s">
        <v>645</v>
      </c>
      <c r="E49" s="120" t="s">
        <v>516</v>
      </c>
      <c r="F49" s="7" t="s">
        <v>759</v>
      </c>
      <c r="G49" s="120" t="s">
        <v>493</v>
      </c>
      <c r="H49" s="146"/>
      <c r="I49" s="7"/>
      <c r="Z49" s="3"/>
      <c r="AA49" s="2"/>
    </row>
    <row r="50" spans="1:27" ht="93.6" hidden="1" x14ac:dyDescent="0.3">
      <c r="A50" s="28" t="s">
        <v>375</v>
      </c>
      <c r="B50" s="27" t="s">
        <v>90</v>
      </c>
      <c r="C50" s="123" t="s">
        <v>111</v>
      </c>
      <c r="D50" s="122" t="s">
        <v>646</v>
      </c>
      <c r="E50" s="120" t="s">
        <v>516</v>
      </c>
      <c r="F50" s="10" t="s">
        <v>759</v>
      </c>
      <c r="G50" s="120" t="s">
        <v>493</v>
      </c>
      <c r="H50" s="146"/>
      <c r="I50" s="21"/>
      <c r="Z50" s="3"/>
      <c r="AA50" s="2"/>
    </row>
    <row r="51" spans="1:27" ht="140.4" hidden="1" x14ac:dyDescent="0.3">
      <c r="A51" s="28" t="s">
        <v>375</v>
      </c>
      <c r="B51" s="26" t="s">
        <v>91</v>
      </c>
      <c r="C51" s="112" t="s">
        <v>112</v>
      </c>
      <c r="D51" s="74" t="s">
        <v>647</v>
      </c>
      <c r="E51" s="120" t="s">
        <v>516</v>
      </c>
      <c r="F51" s="7" t="s">
        <v>759</v>
      </c>
      <c r="G51" s="120" t="s">
        <v>493</v>
      </c>
      <c r="H51" s="146"/>
      <c r="I51" s="7"/>
      <c r="Z51" s="3"/>
      <c r="AA51" s="2"/>
    </row>
    <row r="52" spans="1:27" s="6" customFormat="1" ht="93.6" hidden="1" x14ac:dyDescent="0.3">
      <c r="A52" s="28" t="s">
        <v>375</v>
      </c>
      <c r="B52" s="27" t="s">
        <v>92</v>
      </c>
      <c r="C52" s="122" t="s">
        <v>113</v>
      </c>
      <c r="D52" s="122" t="s">
        <v>648</v>
      </c>
      <c r="E52" s="132" t="s">
        <v>466</v>
      </c>
      <c r="F52" s="21"/>
      <c r="G52" s="120" t="s">
        <v>493</v>
      </c>
      <c r="H52" s="146"/>
      <c r="I52" s="21"/>
      <c r="Z52" s="13"/>
      <c r="AA52" s="14"/>
    </row>
    <row r="53" spans="1:27" s="6" customFormat="1" ht="109.2" hidden="1" x14ac:dyDescent="0.3">
      <c r="A53" s="28" t="s">
        <v>375</v>
      </c>
      <c r="B53" s="26" t="s">
        <v>93</v>
      </c>
      <c r="C53" s="74" t="s">
        <v>114</v>
      </c>
      <c r="D53" s="74" t="s">
        <v>649</v>
      </c>
      <c r="E53" s="120" t="s">
        <v>466</v>
      </c>
      <c r="F53" s="7"/>
      <c r="G53" s="120" t="s">
        <v>493</v>
      </c>
      <c r="H53" s="146"/>
      <c r="I53" s="7"/>
      <c r="Z53" s="13"/>
      <c r="AA53" s="14"/>
    </row>
    <row r="54" spans="1:27" s="6" customFormat="1" ht="109.2" hidden="1" x14ac:dyDescent="0.3">
      <c r="A54" s="28" t="s">
        <v>375</v>
      </c>
      <c r="B54" s="27" t="s">
        <v>94</v>
      </c>
      <c r="C54" s="122" t="s">
        <v>115</v>
      </c>
      <c r="D54" s="122" t="s">
        <v>650</v>
      </c>
      <c r="E54" s="132" t="s">
        <v>466</v>
      </c>
      <c r="F54" s="21"/>
      <c r="G54" s="120" t="s">
        <v>493</v>
      </c>
      <c r="H54" s="146"/>
      <c r="I54" s="21"/>
      <c r="Z54" s="13"/>
      <c r="AA54" s="14"/>
    </row>
    <row r="55" spans="1:27" s="6" customFormat="1" ht="46.8" hidden="1" x14ac:dyDescent="0.3">
      <c r="A55" s="28" t="s">
        <v>375</v>
      </c>
      <c r="B55" s="26" t="s">
        <v>95</v>
      </c>
      <c r="C55" s="74" t="s">
        <v>116</v>
      </c>
      <c r="D55" s="74" t="s">
        <v>651</v>
      </c>
      <c r="E55" s="120" t="s">
        <v>466</v>
      </c>
      <c r="F55" s="7"/>
      <c r="G55" s="120" t="s">
        <v>493</v>
      </c>
      <c r="H55" s="146"/>
      <c r="I55" s="7"/>
      <c r="Z55" s="13"/>
      <c r="AA55" s="14"/>
    </row>
    <row r="56" spans="1:27" s="6" customFormat="1" ht="156" hidden="1" x14ac:dyDescent="0.3">
      <c r="A56" s="28" t="s">
        <v>375</v>
      </c>
      <c r="B56" s="27" t="s">
        <v>96</v>
      </c>
      <c r="C56" s="122" t="s">
        <v>117</v>
      </c>
      <c r="D56" s="122" t="s">
        <v>652</v>
      </c>
      <c r="E56" s="132" t="s">
        <v>466</v>
      </c>
      <c r="F56" s="21"/>
      <c r="G56" s="120" t="s">
        <v>493</v>
      </c>
      <c r="H56" s="146"/>
      <c r="I56" s="21"/>
    </row>
    <row r="57" spans="1:27" ht="78" hidden="1" x14ac:dyDescent="0.3">
      <c r="A57" s="28" t="s">
        <v>375</v>
      </c>
      <c r="B57" s="26" t="s">
        <v>97</v>
      </c>
      <c r="C57" s="119" t="s">
        <v>118</v>
      </c>
      <c r="D57" s="119" t="s">
        <v>653</v>
      </c>
      <c r="E57" s="120" t="s">
        <v>466</v>
      </c>
      <c r="F57" s="7"/>
      <c r="G57" s="120" t="s">
        <v>493</v>
      </c>
      <c r="H57" s="146"/>
      <c r="I57" s="7"/>
    </row>
    <row r="58" spans="1:27" ht="31.2" hidden="1" x14ac:dyDescent="0.3">
      <c r="A58" s="28" t="s">
        <v>375</v>
      </c>
      <c r="B58" s="27" t="s">
        <v>244</v>
      </c>
      <c r="C58" s="102" t="s">
        <v>654</v>
      </c>
      <c r="D58" s="20" t="s">
        <v>696</v>
      </c>
      <c r="E58" s="120" t="s">
        <v>466</v>
      </c>
      <c r="F58" s="10"/>
      <c r="G58" s="120" t="s">
        <v>493</v>
      </c>
      <c r="H58" s="146"/>
      <c r="I58" s="10"/>
    </row>
    <row r="59" spans="1:27" ht="78" hidden="1" x14ac:dyDescent="0.3">
      <c r="A59" s="28" t="s">
        <v>375</v>
      </c>
      <c r="B59" s="26" t="s">
        <v>245</v>
      </c>
      <c r="C59" s="124" t="s">
        <v>257</v>
      </c>
      <c r="D59" s="139" t="s">
        <v>682</v>
      </c>
      <c r="E59" s="120" t="s">
        <v>466</v>
      </c>
      <c r="F59" s="7"/>
      <c r="G59" s="120" t="s">
        <v>493</v>
      </c>
      <c r="H59" s="146"/>
      <c r="I59" s="7"/>
    </row>
    <row r="60" spans="1:27" ht="31.2" hidden="1" x14ac:dyDescent="0.3">
      <c r="A60" s="28" t="s">
        <v>375</v>
      </c>
      <c r="B60" s="27" t="s">
        <v>246</v>
      </c>
      <c r="C60" s="102" t="s">
        <v>258</v>
      </c>
      <c r="D60" s="20" t="s">
        <v>683</v>
      </c>
      <c r="E60" s="120" t="s">
        <v>466</v>
      </c>
      <c r="F60" s="10"/>
      <c r="G60" s="120" t="s">
        <v>493</v>
      </c>
      <c r="H60" s="146"/>
      <c r="I60" s="10"/>
    </row>
    <row r="61" spans="1:27" ht="46.8" hidden="1" x14ac:dyDescent="0.3">
      <c r="A61" s="28" t="s">
        <v>375</v>
      </c>
      <c r="B61" s="26" t="s">
        <v>247</v>
      </c>
      <c r="C61" s="124" t="s">
        <v>259</v>
      </c>
      <c r="D61" s="139" t="s">
        <v>684</v>
      </c>
      <c r="E61" s="120" t="s">
        <v>466</v>
      </c>
      <c r="F61" s="7"/>
      <c r="G61" s="120" t="s">
        <v>493</v>
      </c>
      <c r="H61" s="146"/>
      <c r="I61" s="7"/>
    </row>
    <row r="62" spans="1:27" ht="124.8" hidden="1" x14ac:dyDescent="0.3">
      <c r="A62" s="28" t="s">
        <v>375</v>
      </c>
      <c r="B62" s="27" t="s">
        <v>248</v>
      </c>
      <c r="C62" s="102" t="s">
        <v>260</v>
      </c>
      <c r="D62" s="20" t="s">
        <v>685</v>
      </c>
      <c r="E62" s="120" t="s">
        <v>466</v>
      </c>
      <c r="F62" s="10"/>
      <c r="G62" s="120" t="s">
        <v>493</v>
      </c>
      <c r="H62" s="146"/>
      <c r="I62" s="10"/>
    </row>
    <row r="63" spans="1:27" ht="46.8" hidden="1" x14ac:dyDescent="0.3">
      <c r="A63" s="28" t="s">
        <v>375</v>
      </c>
      <c r="B63" s="26" t="s">
        <v>249</v>
      </c>
      <c r="C63" s="124" t="s">
        <v>261</v>
      </c>
      <c r="D63" s="139" t="s">
        <v>686</v>
      </c>
      <c r="E63" s="120" t="s">
        <v>466</v>
      </c>
      <c r="F63" s="7"/>
      <c r="G63" s="120" t="s">
        <v>493</v>
      </c>
      <c r="H63" s="146"/>
      <c r="I63" s="7"/>
    </row>
    <row r="64" spans="1:27" ht="46.8" hidden="1" x14ac:dyDescent="0.3">
      <c r="A64" s="28" t="s">
        <v>375</v>
      </c>
      <c r="B64" s="27" t="s">
        <v>250</v>
      </c>
      <c r="C64" s="102" t="s">
        <v>262</v>
      </c>
      <c r="D64" s="20" t="s">
        <v>687</v>
      </c>
      <c r="E64" s="120" t="s">
        <v>466</v>
      </c>
      <c r="F64" s="10"/>
      <c r="G64" s="120" t="s">
        <v>493</v>
      </c>
      <c r="H64" s="146"/>
      <c r="I64" s="10"/>
    </row>
    <row r="65" spans="1:9" ht="109.2" hidden="1" x14ac:dyDescent="0.3">
      <c r="A65" s="28" t="s">
        <v>375</v>
      </c>
      <c r="B65" s="26" t="s">
        <v>251</v>
      </c>
      <c r="C65" s="124" t="s">
        <v>263</v>
      </c>
      <c r="D65" s="139" t="s">
        <v>688</v>
      </c>
      <c r="E65" s="120" t="s">
        <v>466</v>
      </c>
      <c r="F65" s="7"/>
      <c r="G65" s="120" t="s">
        <v>493</v>
      </c>
      <c r="H65" s="146"/>
      <c r="I65" s="7"/>
    </row>
    <row r="66" spans="1:9" ht="93.6" hidden="1" x14ac:dyDescent="0.3">
      <c r="A66" s="28" t="s">
        <v>375</v>
      </c>
      <c r="B66" s="27" t="s">
        <v>252</v>
      </c>
      <c r="C66" s="124" t="s">
        <v>264</v>
      </c>
      <c r="D66" s="20" t="s">
        <v>689</v>
      </c>
      <c r="E66" s="120" t="s">
        <v>466</v>
      </c>
      <c r="F66" s="10"/>
      <c r="G66" s="120" t="s">
        <v>493</v>
      </c>
      <c r="H66" s="146"/>
      <c r="I66" s="10"/>
    </row>
    <row r="67" spans="1:9" ht="46.8" hidden="1" x14ac:dyDescent="0.3">
      <c r="A67" s="28" t="s">
        <v>375</v>
      </c>
      <c r="B67" s="26" t="s">
        <v>253</v>
      </c>
      <c r="C67" s="102" t="s">
        <v>265</v>
      </c>
      <c r="D67" s="139" t="s">
        <v>690</v>
      </c>
      <c r="E67" s="120" t="s">
        <v>466</v>
      </c>
      <c r="F67" s="7"/>
      <c r="G67" s="120" t="s">
        <v>493</v>
      </c>
      <c r="H67" s="146"/>
      <c r="I67" s="7"/>
    </row>
    <row r="68" spans="1:9" ht="62.4" hidden="1" x14ac:dyDescent="0.3">
      <c r="A68" s="28" t="s">
        <v>375</v>
      </c>
      <c r="B68" s="27" t="s">
        <v>254</v>
      </c>
      <c r="C68" s="124" t="s">
        <v>266</v>
      </c>
      <c r="D68" s="20" t="s">
        <v>691</v>
      </c>
      <c r="E68" s="120" t="s">
        <v>466</v>
      </c>
      <c r="F68" s="10"/>
      <c r="G68" s="120" t="s">
        <v>493</v>
      </c>
      <c r="H68" s="146"/>
      <c r="I68" s="10"/>
    </row>
    <row r="69" spans="1:9" ht="46.8" hidden="1" x14ac:dyDescent="0.3">
      <c r="A69" s="28" t="s">
        <v>375</v>
      </c>
      <c r="B69" s="26" t="s">
        <v>255</v>
      </c>
      <c r="C69" s="102" t="s">
        <v>267</v>
      </c>
      <c r="D69" s="139" t="s">
        <v>692</v>
      </c>
      <c r="E69" s="120" t="s">
        <v>466</v>
      </c>
      <c r="F69" s="7"/>
      <c r="G69" s="120" t="s">
        <v>493</v>
      </c>
      <c r="H69" s="146"/>
      <c r="I69" s="7"/>
    </row>
    <row r="70" spans="1:9" ht="31.2" hidden="1" x14ac:dyDescent="0.3">
      <c r="A70" s="28" t="s">
        <v>375</v>
      </c>
      <c r="B70" s="27" t="s">
        <v>256</v>
      </c>
      <c r="C70" s="124" t="s">
        <v>268</v>
      </c>
      <c r="D70" s="20" t="s">
        <v>693</v>
      </c>
      <c r="E70" s="120" t="s">
        <v>466</v>
      </c>
      <c r="F70" s="10"/>
      <c r="G70" s="120" t="s">
        <v>493</v>
      </c>
      <c r="H70" s="146"/>
      <c r="I70" s="10"/>
    </row>
    <row r="71" spans="1:9" ht="31.2" hidden="1" x14ac:dyDescent="0.3">
      <c r="A71" s="28" t="s">
        <v>375</v>
      </c>
      <c r="B71" s="26" t="s">
        <v>269</v>
      </c>
      <c r="C71" s="102" t="s">
        <v>271</v>
      </c>
      <c r="D71" s="139" t="s">
        <v>694</v>
      </c>
      <c r="E71" s="120" t="s">
        <v>466</v>
      </c>
      <c r="F71" s="7"/>
      <c r="G71" s="120" t="s">
        <v>493</v>
      </c>
      <c r="H71" s="146"/>
      <c r="I71" s="7"/>
    </row>
    <row r="72" spans="1:9" ht="46.8" hidden="1" x14ac:dyDescent="0.3">
      <c r="A72" s="29" t="s">
        <v>375</v>
      </c>
      <c r="B72" s="27" t="s">
        <v>270</v>
      </c>
      <c r="C72" s="124" t="s">
        <v>272</v>
      </c>
      <c r="D72" s="20" t="s">
        <v>695</v>
      </c>
      <c r="E72" s="120" t="s">
        <v>466</v>
      </c>
      <c r="F72" s="10"/>
      <c r="G72" s="120" t="s">
        <v>493</v>
      </c>
      <c r="H72" s="146"/>
      <c r="I72" s="10"/>
    </row>
    <row r="73" spans="1:9" ht="23.4" x14ac:dyDescent="0.3">
      <c r="A73" s="148"/>
      <c r="B73" s="149"/>
      <c r="C73" s="150"/>
      <c r="D73" s="151"/>
      <c r="E73" s="142"/>
      <c r="F73" s="143"/>
      <c r="G73" s="143"/>
      <c r="H73" s="144"/>
      <c r="I73" s="145"/>
    </row>
    <row r="74" spans="1:9" x14ac:dyDescent="0.3">
      <c r="C74" s="5"/>
      <c r="D74" s="5"/>
    </row>
    <row r="75" spans="1:9" x14ac:dyDescent="0.3">
      <c r="C75" s="5"/>
      <c r="D75" s="5"/>
    </row>
    <row r="76" spans="1:9" x14ac:dyDescent="0.3">
      <c r="C76" s="5"/>
      <c r="D76" s="5"/>
    </row>
    <row r="77" spans="1:9" x14ac:dyDescent="0.3">
      <c r="C77" s="5"/>
      <c r="D77" s="5"/>
    </row>
    <row r="78" spans="1:9" x14ac:dyDescent="0.3">
      <c r="C78" s="5"/>
      <c r="D78" s="5"/>
    </row>
    <row r="79" spans="1:9" x14ac:dyDescent="0.3">
      <c r="C79" s="5"/>
      <c r="D79" s="5"/>
    </row>
    <row r="80" spans="1:9" x14ac:dyDescent="0.3">
      <c r="C80" s="5"/>
      <c r="D80" s="5"/>
    </row>
    <row r="81" spans="3:4" x14ac:dyDescent="0.3">
      <c r="C81" s="5"/>
      <c r="D81" s="5"/>
    </row>
    <row r="82" spans="3:4" x14ac:dyDescent="0.3">
      <c r="C82" s="5"/>
      <c r="D82" s="5"/>
    </row>
    <row r="83" spans="3:4" x14ac:dyDescent="0.3">
      <c r="C83" s="5"/>
      <c r="D83" s="5"/>
    </row>
    <row r="162" spans="4:5" x14ac:dyDescent="0.3">
      <c r="D162" s="1"/>
      <c r="E162" s="1"/>
    </row>
    <row r="163" spans="4:5" x14ac:dyDescent="0.3">
      <c r="D163" s="3"/>
    </row>
    <row r="164" spans="4:5" x14ac:dyDescent="0.3">
      <c r="D164" s="3"/>
    </row>
    <row r="165" spans="4:5" x14ac:dyDescent="0.3">
      <c r="D165" s="3"/>
    </row>
    <row r="166" spans="4:5" x14ac:dyDescent="0.3">
      <c r="D166" s="3"/>
    </row>
    <row r="167" spans="4:5" x14ac:dyDescent="0.3">
      <c r="D167" s="3"/>
    </row>
    <row r="168" spans="4:5" x14ac:dyDescent="0.3">
      <c r="D168" s="3"/>
    </row>
    <row r="169" spans="4:5" x14ac:dyDescent="0.3">
      <c r="D169" s="3"/>
    </row>
    <row r="170" spans="4:5" x14ac:dyDescent="0.3">
      <c r="D170" s="3"/>
    </row>
    <row r="171" spans="4:5" x14ac:dyDescent="0.3">
      <c r="D171" s="3"/>
    </row>
    <row r="172" spans="4:5" x14ac:dyDescent="0.3">
      <c r="D172" s="3"/>
    </row>
    <row r="173" spans="4:5" x14ac:dyDescent="0.3">
      <c r="D173" s="3"/>
    </row>
    <row r="174" spans="4:5" x14ac:dyDescent="0.3">
      <c r="D174" s="3"/>
    </row>
    <row r="175" spans="4:5" x14ac:dyDescent="0.3">
      <c r="D175" s="3"/>
    </row>
    <row r="176" spans="4:5" x14ac:dyDescent="0.3">
      <c r="D176" s="3"/>
    </row>
    <row r="177" spans="4:4" x14ac:dyDescent="0.3">
      <c r="D177" s="3"/>
    </row>
  </sheetData>
  <phoneticPr fontId="4" type="noConversion"/>
  <conditionalFormatting sqref="E3:E10">
    <cfRule type="containsText" dxfId="459" priority="44" operator="containsText" text="Non">
      <formula>NOT(ISERROR(SEARCH("Non",E3)))</formula>
    </cfRule>
    <cfRule type="containsText" dxfId="458" priority="45" operator="containsText" text="Partiellement">
      <formula>NOT(ISERROR(SEARCH("Partiellement",E3)))</formula>
    </cfRule>
    <cfRule type="containsText" dxfId="457" priority="46" operator="containsText" text="Oui">
      <formula>NOT(ISERROR(SEARCH("Oui",E3)))</formula>
    </cfRule>
  </conditionalFormatting>
  <conditionalFormatting sqref="E12:E72">
    <cfRule type="containsText" dxfId="456" priority="38" operator="containsText" text="Non">
      <formula>NOT(ISERROR(SEARCH("Non",E12)))</formula>
    </cfRule>
    <cfRule type="containsText" dxfId="455" priority="39" operator="containsText" text="Partiellement">
      <formula>NOT(ISERROR(SEARCH("Partiellement",E12)))</formula>
    </cfRule>
    <cfRule type="containsText" dxfId="454" priority="40" operator="containsText" text="Oui">
      <formula>NOT(ISERROR(SEARCH("Oui",E12)))</formula>
    </cfRule>
  </conditionalFormatting>
  <conditionalFormatting sqref="G2">
    <cfRule type="cellIs" dxfId="453" priority="22" operator="greaterThan">
      <formula>75</formula>
    </cfRule>
    <cfRule type="cellIs" dxfId="452" priority="23" operator="between">
      <formula>50</formula>
      <formula>75</formula>
    </cfRule>
    <cfRule type="cellIs" dxfId="451" priority="24" operator="between">
      <formula>25</formula>
      <formula>50</formula>
    </cfRule>
    <cfRule type="cellIs" dxfId="450" priority="25" operator="lessThan">
      <formula>25</formula>
    </cfRule>
    <cfRule type="cellIs" dxfId="449" priority="26" operator="between">
      <formula>0</formula>
      <formula>"24.9"</formula>
    </cfRule>
  </conditionalFormatting>
  <conditionalFormatting sqref="G3:G10 G12:G72">
    <cfRule type="containsText" dxfId="448" priority="32" operator="containsText" text="Partiellement">
      <formula>NOT(ISERROR(SEARCH("Partiellement",G3)))</formula>
    </cfRule>
    <cfRule type="containsText" dxfId="447" priority="33" operator="containsText" text="Non Conforme">
      <formula>NOT(ISERROR(SEARCH("Non Conforme",G3)))</formula>
    </cfRule>
    <cfRule type="containsText" dxfId="446" priority="34" operator="containsText" text="Conforme">
      <formula>NOT(ISERROR(SEARCH("Conforme",G3)))</formula>
    </cfRule>
    <cfRule type="containsText" dxfId="445" priority="35" operator="containsText" text="Non">
      <formula>NOT(ISERROR(SEARCH("Non",G3)))</formula>
    </cfRule>
    <cfRule type="containsText" dxfId="444" priority="36" operator="containsText" text="Partiellement">
      <formula>NOT(ISERROR(SEARCH("Partiellement",G3)))</formula>
    </cfRule>
    <cfRule type="containsText" dxfId="443" priority="37" operator="containsText" text="Oui">
      <formula>NOT(ISERROR(SEARCH("Oui",G3)))</formula>
    </cfRule>
  </conditionalFormatting>
  <conditionalFormatting sqref="G11">
    <cfRule type="cellIs" dxfId="442" priority="17" operator="greaterThan">
      <formula>75</formula>
    </cfRule>
    <cfRule type="cellIs" dxfId="441" priority="18" operator="between">
      <formula>50</formula>
      <formula>75</formula>
    </cfRule>
    <cfRule type="cellIs" dxfId="440" priority="19" operator="between">
      <formula>25</formula>
      <formula>50</formula>
    </cfRule>
    <cfRule type="cellIs" dxfId="439" priority="20" operator="lessThan">
      <formula>25</formula>
    </cfRule>
    <cfRule type="cellIs" dxfId="438" priority="21" operator="between">
      <formula>0</formula>
      <formula>"24.9"</formula>
    </cfRule>
  </conditionalFormatting>
  <conditionalFormatting sqref="H2">
    <cfRule type="containsText" dxfId="437" priority="9" operator="containsText" text="Non Conforme">
      <formula>NOT(ISERROR(SEARCH("Non Conforme",H2)))</formula>
    </cfRule>
    <cfRule type="containsText" dxfId="436" priority="10" operator="containsText" text="Conforme">
      <formula>NOT(ISERROR(SEARCH("Conforme",H2)))</formula>
    </cfRule>
    <cfRule type="containsText" dxfId="435" priority="11" operator="containsText" text="Partiellement">
      <formula>NOT(ISERROR(SEARCH("Partiellement",H2)))</formula>
    </cfRule>
    <cfRule type="containsText" dxfId="434" priority="12" operator="containsText" text="Non Conforme">
      <formula>NOT(ISERROR(SEARCH("Non Conforme",H2)))</formula>
    </cfRule>
    <cfRule type="containsText" dxfId="433" priority="13" operator="containsText" text="Conforme">
      <formula>NOT(ISERROR(SEARCH("Conforme",H2)))</formula>
    </cfRule>
    <cfRule type="containsText" dxfId="432" priority="14" operator="containsText" text="Non">
      <formula>NOT(ISERROR(SEARCH("Non",H2)))</formula>
    </cfRule>
    <cfRule type="containsText" dxfId="431" priority="15" operator="containsText" text="Partiellement">
      <formula>NOT(ISERROR(SEARCH("Partiellement",H2)))</formula>
    </cfRule>
    <cfRule type="containsText" dxfId="430" priority="16" operator="containsText" text="Oui">
      <formula>NOT(ISERROR(SEARCH("Oui",H2)))</formula>
    </cfRule>
  </conditionalFormatting>
  <conditionalFormatting sqref="H11">
    <cfRule type="containsText" dxfId="429" priority="1" operator="containsText" text="Non Conforme">
      <formula>NOT(ISERROR(SEARCH("Non Conforme",H11)))</formula>
    </cfRule>
    <cfRule type="containsText" dxfId="428" priority="2" operator="containsText" text="Conforme">
      <formula>NOT(ISERROR(SEARCH("Conforme",H11)))</formula>
    </cfRule>
    <cfRule type="containsText" dxfId="427" priority="3" operator="containsText" text="Partiellement">
      <formula>NOT(ISERROR(SEARCH("Partiellement",H11)))</formula>
    </cfRule>
    <cfRule type="containsText" dxfId="426" priority="4" operator="containsText" text="Non Conforme">
      <formula>NOT(ISERROR(SEARCH("Non Conforme",H11)))</formula>
    </cfRule>
    <cfRule type="containsText" dxfId="425" priority="5" operator="containsText" text="Conforme">
      <formula>NOT(ISERROR(SEARCH("Conforme",H11)))</formula>
    </cfRule>
    <cfRule type="containsText" dxfId="424" priority="6" operator="containsText" text="Non">
      <formula>NOT(ISERROR(SEARCH("Non",H11)))</formula>
    </cfRule>
    <cfRule type="containsText" dxfId="423" priority="7" operator="containsText" text="Partiellement">
      <formula>NOT(ISERROR(SEARCH("Partiellement",H11)))</formula>
    </cfRule>
    <cfRule type="containsText" dxfId="422" priority="8" operator="containsText" text="Oui">
      <formula>NOT(ISERROR(SEARCH("Oui",H11)))</formula>
    </cfRule>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E5AA7-E850-4C65-AF06-A83666DF885D}">
  <sheetPr>
    <tabColor rgb="FFC00000"/>
  </sheetPr>
  <dimension ref="B1:AV45"/>
  <sheetViews>
    <sheetView topLeftCell="B1" zoomScale="95" zoomScaleNormal="32" workbookViewId="0">
      <selection activeCell="I7" sqref="I7"/>
    </sheetView>
  </sheetViews>
  <sheetFormatPr defaultColWidth="8.88671875" defaultRowHeight="14.4" x14ac:dyDescent="0.3"/>
  <cols>
    <col min="2" max="2" width="19.21875" customWidth="1"/>
    <col min="3" max="3" width="31.88671875" style="4" customWidth="1"/>
    <col min="4" max="4" width="128.88671875" customWidth="1"/>
    <col min="5" max="5" width="93.109375" customWidth="1"/>
    <col min="6" max="6" width="25" customWidth="1"/>
    <col min="7" max="7" width="85" customWidth="1"/>
    <col min="8" max="8" width="49.88671875" customWidth="1"/>
    <col min="9" max="9" width="72.21875" customWidth="1"/>
    <col min="10" max="10" width="120.44140625" customWidth="1"/>
  </cols>
  <sheetData>
    <row r="1" spans="2:48" s="63" customFormat="1" ht="32.4" x14ac:dyDescent="0.6">
      <c r="B1" s="57" t="s">
        <v>0</v>
      </c>
      <c r="C1" s="57" t="s">
        <v>7</v>
      </c>
      <c r="D1" s="58" t="s">
        <v>1</v>
      </c>
      <c r="E1" s="58" t="s">
        <v>372</v>
      </c>
      <c r="F1" s="58" t="s">
        <v>371</v>
      </c>
      <c r="G1" s="58" t="s">
        <v>4</v>
      </c>
      <c r="H1" s="117" t="s">
        <v>767</v>
      </c>
      <c r="I1" s="117" t="s">
        <v>766</v>
      </c>
      <c r="J1" s="59" t="s">
        <v>5</v>
      </c>
    </row>
    <row r="2" spans="2:48" ht="25.8" x14ac:dyDescent="0.3">
      <c r="B2" s="31" t="s">
        <v>2</v>
      </c>
      <c r="C2" s="44" t="s">
        <v>2</v>
      </c>
      <c r="D2" s="42"/>
      <c r="E2" s="42"/>
      <c r="F2" s="42"/>
      <c r="G2" s="42"/>
      <c r="H2" s="125">
        <f>(COUNTIF(H3:H6, "Oui")/COUNTA(H3:H6))*100</f>
        <v>0</v>
      </c>
      <c r="I2" s="120" t="s">
        <v>763</v>
      </c>
      <c r="J2" s="43"/>
    </row>
    <row r="3" spans="2:48" s="6" customFormat="1" ht="140.4" hidden="1" x14ac:dyDescent="0.3">
      <c r="B3" s="30" t="s">
        <v>2</v>
      </c>
      <c r="C3" s="79" t="s">
        <v>172</v>
      </c>
      <c r="D3" s="85" t="s">
        <v>469</v>
      </c>
      <c r="E3" s="141" t="s">
        <v>697</v>
      </c>
      <c r="F3" s="72" t="s">
        <v>516</v>
      </c>
      <c r="G3" s="77" t="s">
        <v>753</v>
      </c>
      <c r="H3" s="120" t="s">
        <v>493</v>
      </c>
      <c r="I3" s="146"/>
      <c r="J3" s="78"/>
    </row>
    <row r="4" spans="2:48" ht="90.6" hidden="1" customHeight="1" x14ac:dyDescent="0.3">
      <c r="B4" s="30" t="s">
        <v>2</v>
      </c>
      <c r="C4" s="26" t="s">
        <v>11</v>
      </c>
      <c r="D4" s="74" t="s">
        <v>149</v>
      </c>
      <c r="E4" s="74" t="s">
        <v>201</v>
      </c>
      <c r="F4" s="72" t="s">
        <v>516</v>
      </c>
      <c r="G4" s="140" t="s">
        <v>753</v>
      </c>
      <c r="H4" s="120" t="s">
        <v>493</v>
      </c>
      <c r="I4" s="146"/>
      <c r="J4" s="75"/>
    </row>
    <row r="5" spans="2:48" ht="93.6" hidden="1" x14ac:dyDescent="0.3">
      <c r="B5" s="30" t="s">
        <v>2</v>
      </c>
      <c r="C5" s="27" t="s">
        <v>146</v>
      </c>
      <c r="D5" s="35" t="s">
        <v>148</v>
      </c>
      <c r="E5" s="35" t="s">
        <v>202</v>
      </c>
      <c r="F5" s="72" t="s">
        <v>466</v>
      </c>
      <c r="G5" s="76"/>
      <c r="H5" s="120" t="s">
        <v>493</v>
      </c>
      <c r="I5" s="146"/>
      <c r="J5" s="76"/>
    </row>
    <row r="6" spans="2:48" s="6" customFormat="1" ht="156" hidden="1" x14ac:dyDescent="0.3">
      <c r="B6" s="30" t="s">
        <v>2</v>
      </c>
      <c r="C6" s="26" t="s">
        <v>14</v>
      </c>
      <c r="D6" s="74" t="s">
        <v>147</v>
      </c>
      <c r="E6" s="74" t="s">
        <v>204</v>
      </c>
      <c r="F6" s="72" t="s">
        <v>466</v>
      </c>
      <c r="G6" s="75"/>
      <c r="H6" s="120" t="s">
        <v>493</v>
      </c>
      <c r="I6" s="146"/>
      <c r="J6" s="75"/>
      <c r="AB6" s="12"/>
      <c r="AC6" s="12"/>
      <c r="AD6" s="12"/>
    </row>
    <row r="7" spans="2:48" ht="25.8" x14ac:dyDescent="0.3">
      <c r="B7" s="30" t="s">
        <v>3</v>
      </c>
      <c r="C7" s="44" t="s">
        <v>3</v>
      </c>
      <c r="D7" s="86"/>
      <c r="E7" s="46"/>
      <c r="F7" s="46"/>
      <c r="G7" s="47"/>
      <c r="H7" s="125">
        <f>(COUNTIF(H8:H19, "Oui")/COUNTA(H8:H19))*100</f>
        <v>0</v>
      </c>
      <c r="I7" s="120" t="s">
        <v>764</v>
      </c>
      <c r="J7" s="47"/>
      <c r="AB7" s="3"/>
      <c r="AC7" s="2"/>
      <c r="AD7" s="2"/>
    </row>
    <row r="8" spans="2:48" ht="196.8" hidden="1" customHeight="1" x14ac:dyDescent="0.3">
      <c r="B8" s="30" t="s">
        <v>3</v>
      </c>
      <c r="C8" s="26" t="s">
        <v>11</v>
      </c>
      <c r="D8" s="17" t="s">
        <v>150</v>
      </c>
      <c r="E8" s="17" t="s">
        <v>377</v>
      </c>
      <c r="F8" s="72" t="s">
        <v>466</v>
      </c>
      <c r="G8" s="16"/>
      <c r="H8" s="120" t="s">
        <v>493</v>
      </c>
      <c r="I8" s="146"/>
      <c r="J8" s="16"/>
      <c r="AB8" s="3"/>
      <c r="AC8" s="2"/>
      <c r="AD8" s="3"/>
      <c r="AS8" s="1"/>
      <c r="AT8" s="1"/>
      <c r="AU8" s="1"/>
      <c r="AV8" s="1"/>
    </row>
    <row r="9" spans="2:48" ht="104.4" hidden="1" customHeight="1" x14ac:dyDescent="0.3">
      <c r="B9" s="30" t="s">
        <v>3</v>
      </c>
      <c r="C9" s="27" t="s">
        <v>146</v>
      </c>
      <c r="D9" s="17" t="s">
        <v>161</v>
      </c>
      <c r="E9" s="17" t="s">
        <v>378</v>
      </c>
      <c r="F9" s="72" t="s">
        <v>466</v>
      </c>
      <c r="G9" s="16"/>
      <c r="H9" s="120" t="s">
        <v>493</v>
      </c>
      <c r="I9" s="146"/>
      <c r="J9" s="16"/>
      <c r="N9" s="1"/>
      <c r="O9" s="1"/>
      <c r="AB9" s="3"/>
      <c r="AC9" s="2"/>
      <c r="AD9" s="2"/>
      <c r="AS9" s="2"/>
      <c r="AT9" s="2"/>
      <c r="AU9" s="2"/>
      <c r="AV9" s="2"/>
    </row>
    <row r="10" spans="2:48" ht="46.8" hidden="1" x14ac:dyDescent="0.3">
      <c r="B10" s="30" t="s">
        <v>3</v>
      </c>
      <c r="C10" s="26" t="s">
        <v>14</v>
      </c>
      <c r="D10" s="17" t="s">
        <v>162</v>
      </c>
      <c r="E10" s="17" t="s">
        <v>379</v>
      </c>
      <c r="F10" s="72" t="s">
        <v>466</v>
      </c>
      <c r="G10" s="16"/>
      <c r="H10" s="120" t="s">
        <v>493</v>
      </c>
      <c r="I10" s="146"/>
      <c r="J10" s="16"/>
      <c r="N10" s="3"/>
      <c r="O10" s="2"/>
      <c r="Z10" s="1"/>
      <c r="AA10" s="1"/>
      <c r="AB10" s="3"/>
      <c r="AC10" s="2"/>
      <c r="AD10" s="2"/>
      <c r="AS10" s="2"/>
      <c r="AT10" s="2"/>
      <c r="AU10" s="2"/>
      <c r="AV10" s="2"/>
    </row>
    <row r="11" spans="2:48" ht="109.2" hidden="1" x14ac:dyDescent="0.3">
      <c r="B11" s="30" t="s">
        <v>3</v>
      </c>
      <c r="C11" s="27" t="s">
        <v>15</v>
      </c>
      <c r="D11" s="17" t="s">
        <v>163</v>
      </c>
      <c r="E11" s="17" t="s">
        <v>380</v>
      </c>
      <c r="F11" s="72" t="s">
        <v>466</v>
      </c>
      <c r="G11" s="16"/>
      <c r="H11" s="120" t="s">
        <v>493</v>
      </c>
      <c r="I11" s="146"/>
      <c r="J11" s="16"/>
      <c r="N11" s="3"/>
      <c r="O11" s="2"/>
      <c r="Z11" s="3"/>
      <c r="AA11" s="2"/>
      <c r="AB11" s="3"/>
      <c r="AC11" s="2"/>
      <c r="AD11" s="2"/>
      <c r="AS11" s="2"/>
      <c r="AT11" s="2"/>
      <c r="AU11" s="2"/>
      <c r="AV11" s="2"/>
    </row>
    <row r="12" spans="2:48" ht="46.8" hidden="1" x14ac:dyDescent="0.3">
      <c r="B12" s="30" t="s">
        <v>3</v>
      </c>
      <c r="C12" s="26" t="s">
        <v>151</v>
      </c>
      <c r="D12" s="17" t="s">
        <v>164</v>
      </c>
      <c r="E12" s="17" t="s">
        <v>381</v>
      </c>
      <c r="F12" s="72" t="s">
        <v>466</v>
      </c>
      <c r="G12" s="16"/>
      <c r="H12" s="120" t="s">
        <v>493</v>
      </c>
      <c r="I12" s="146"/>
      <c r="J12" s="16"/>
      <c r="N12" s="3"/>
      <c r="O12" s="2"/>
      <c r="Z12" s="3"/>
      <c r="AA12" s="2"/>
      <c r="AB12" s="3"/>
      <c r="AC12" s="2"/>
      <c r="AD12" s="2"/>
      <c r="AS12" s="2"/>
      <c r="AT12" s="2"/>
      <c r="AU12" s="2"/>
      <c r="AV12" s="2"/>
    </row>
    <row r="13" spans="2:48" ht="202.8" hidden="1" x14ac:dyDescent="0.3">
      <c r="B13" s="30" t="s">
        <v>3</v>
      </c>
      <c r="C13" s="27" t="s">
        <v>152</v>
      </c>
      <c r="D13" s="17" t="s">
        <v>165</v>
      </c>
      <c r="E13" s="17" t="s">
        <v>382</v>
      </c>
      <c r="F13" s="72" t="s">
        <v>466</v>
      </c>
      <c r="G13" s="16"/>
      <c r="H13" s="120" t="s">
        <v>493</v>
      </c>
      <c r="I13" s="146"/>
      <c r="J13" s="16"/>
      <c r="Z13" s="3"/>
      <c r="AA13" s="2"/>
      <c r="AB13" s="3"/>
      <c r="AC13" s="2"/>
      <c r="AD13" s="2"/>
      <c r="AS13" s="2"/>
      <c r="AT13" s="2"/>
      <c r="AU13" s="2"/>
      <c r="AV13" s="2"/>
    </row>
    <row r="14" spans="2:48" ht="62.4" hidden="1" x14ac:dyDescent="0.3">
      <c r="B14" s="30" t="s">
        <v>3</v>
      </c>
      <c r="C14" s="26" t="s">
        <v>155</v>
      </c>
      <c r="D14" s="17" t="s">
        <v>166</v>
      </c>
      <c r="E14" s="17" t="s">
        <v>475</v>
      </c>
      <c r="F14" s="72" t="s">
        <v>466</v>
      </c>
      <c r="G14" s="16"/>
      <c r="H14" s="120" t="s">
        <v>493</v>
      </c>
      <c r="I14" s="146"/>
      <c r="J14" s="16"/>
      <c r="Z14" s="3"/>
      <c r="AA14" s="2"/>
      <c r="AB14" s="3"/>
      <c r="AC14" s="2"/>
      <c r="AD14" s="2"/>
      <c r="AS14" s="2"/>
      <c r="AT14" s="2"/>
      <c r="AU14" s="2"/>
      <c r="AV14" s="2"/>
    </row>
    <row r="15" spans="2:48" ht="46.8" hidden="1" x14ac:dyDescent="0.3">
      <c r="B15" s="30" t="s">
        <v>3</v>
      </c>
      <c r="C15" s="27" t="s">
        <v>156</v>
      </c>
      <c r="D15" s="17" t="s">
        <v>167</v>
      </c>
      <c r="E15" s="17" t="s">
        <v>476</v>
      </c>
      <c r="F15" s="72" t="s">
        <v>466</v>
      </c>
      <c r="G15" s="16"/>
      <c r="H15" s="120" t="s">
        <v>493</v>
      </c>
      <c r="I15" s="146"/>
      <c r="J15" s="16"/>
      <c r="Z15" s="3"/>
      <c r="AA15" s="2"/>
      <c r="AB15" s="3"/>
      <c r="AC15" s="2"/>
      <c r="AD15" s="2"/>
      <c r="AS15" s="2"/>
      <c r="AT15" s="2"/>
      <c r="AU15" s="2"/>
      <c r="AV15" s="2"/>
    </row>
    <row r="16" spans="2:48" ht="109.2" hidden="1" x14ac:dyDescent="0.3">
      <c r="B16" s="30" t="s">
        <v>3</v>
      </c>
      <c r="C16" s="26" t="s">
        <v>157</v>
      </c>
      <c r="D16" s="17" t="s">
        <v>168</v>
      </c>
      <c r="E16" s="17" t="s">
        <v>211</v>
      </c>
      <c r="F16" s="72" t="s">
        <v>466</v>
      </c>
      <c r="G16" s="16"/>
      <c r="H16" s="120" t="s">
        <v>493</v>
      </c>
      <c r="I16" s="146"/>
      <c r="J16" s="16"/>
      <c r="Z16" s="3"/>
      <c r="AA16" s="2"/>
      <c r="AB16" s="3"/>
      <c r="AC16" s="2"/>
      <c r="AD16" s="2"/>
      <c r="AE16" s="1"/>
      <c r="AF16" s="1"/>
      <c r="AG16" s="1"/>
      <c r="AS16" s="2"/>
      <c r="AT16" s="2"/>
      <c r="AU16" s="2"/>
      <c r="AV16" s="2"/>
    </row>
    <row r="17" spans="2:48" ht="187.2" hidden="1" x14ac:dyDescent="0.3">
      <c r="B17" s="30" t="s">
        <v>3</v>
      </c>
      <c r="C17" s="27" t="s">
        <v>158</v>
      </c>
      <c r="D17" s="17" t="s">
        <v>169</v>
      </c>
      <c r="E17" s="17" t="s">
        <v>383</v>
      </c>
      <c r="F17" s="103" t="s">
        <v>466</v>
      </c>
      <c r="G17" s="16"/>
      <c r="H17" s="120" t="s">
        <v>493</v>
      </c>
      <c r="I17" s="146"/>
      <c r="J17" s="16"/>
      <c r="Z17" s="3"/>
      <c r="AA17" s="2"/>
      <c r="AB17" s="3"/>
      <c r="AC17" s="2"/>
      <c r="AD17" s="2"/>
      <c r="AE17" s="3"/>
      <c r="AF17" s="2"/>
      <c r="AG17" s="2"/>
      <c r="AS17" s="2"/>
      <c r="AT17" s="2"/>
      <c r="AU17" s="2"/>
      <c r="AV17" s="2"/>
    </row>
    <row r="18" spans="2:48" ht="374.4" hidden="1" x14ac:dyDescent="0.3">
      <c r="B18" s="30" t="s">
        <v>3</v>
      </c>
      <c r="C18" s="26" t="s">
        <v>159</v>
      </c>
      <c r="D18" s="17" t="s">
        <v>170</v>
      </c>
      <c r="E18" s="17" t="s">
        <v>360</v>
      </c>
      <c r="F18" s="72" t="s">
        <v>466</v>
      </c>
      <c r="G18" s="16"/>
      <c r="H18" s="120" t="s">
        <v>493</v>
      </c>
      <c r="I18" s="146"/>
      <c r="J18" s="16"/>
      <c r="Z18" s="3"/>
      <c r="AA18" s="2"/>
      <c r="AE18" s="3"/>
      <c r="AF18" s="2"/>
      <c r="AG18" s="2"/>
      <c r="AS18" s="2"/>
      <c r="AT18" s="2"/>
      <c r="AU18" s="2"/>
      <c r="AV18" s="2"/>
    </row>
    <row r="19" spans="2:48" ht="296.39999999999998" hidden="1" x14ac:dyDescent="0.3">
      <c r="B19" s="30" t="s">
        <v>3</v>
      </c>
      <c r="C19" s="27" t="s">
        <v>160</v>
      </c>
      <c r="D19" s="102" t="s">
        <v>171</v>
      </c>
      <c r="E19" s="17" t="s">
        <v>361</v>
      </c>
      <c r="F19" s="72" t="s">
        <v>466</v>
      </c>
      <c r="G19" s="16"/>
      <c r="H19" s="120" t="s">
        <v>493</v>
      </c>
      <c r="I19" s="146"/>
      <c r="J19" s="16"/>
      <c r="Z19" s="3"/>
      <c r="AA19" s="2"/>
      <c r="AE19" s="3"/>
      <c r="AF19" s="2"/>
      <c r="AG19" s="3"/>
      <c r="AI19" s="1"/>
      <c r="AJ19" s="1"/>
      <c r="AK19" s="1"/>
      <c r="AS19" s="2"/>
      <c r="AT19" s="2"/>
      <c r="AU19" s="2"/>
      <c r="AV19" s="2"/>
    </row>
    <row r="20" spans="2:48" ht="25.8" x14ac:dyDescent="0.3">
      <c r="B20" s="30" t="s">
        <v>121</v>
      </c>
      <c r="C20" s="44" t="s">
        <v>121</v>
      </c>
      <c r="D20" s="86"/>
      <c r="E20" s="46"/>
      <c r="F20" s="47"/>
      <c r="G20" s="47"/>
      <c r="H20" s="125">
        <f>(COUNTIF(H21:H37, "Oui")/COUNTA(H21:H37))*100</f>
        <v>0</v>
      </c>
      <c r="I20" s="120"/>
      <c r="J20" s="47"/>
      <c r="Z20" s="3"/>
      <c r="AA20" s="2"/>
      <c r="AE20" s="3"/>
      <c r="AF20" s="2"/>
      <c r="AG20" s="2"/>
      <c r="AI20" s="3"/>
      <c r="AJ20" s="2"/>
      <c r="AK20" s="2"/>
      <c r="AS20" s="2"/>
      <c r="AT20" s="2"/>
      <c r="AU20" s="2"/>
      <c r="AV20" s="2"/>
    </row>
    <row r="21" spans="2:48" ht="234" hidden="1" customHeight="1" x14ac:dyDescent="0.3">
      <c r="B21" s="30" t="s">
        <v>121</v>
      </c>
      <c r="C21" s="27" t="s">
        <v>11</v>
      </c>
      <c r="D21" s="17" t="s">
        <v>520</v>
      </c>
      <c r="E21" s="17" t="s">
        <v>698</v>
      </c>
      <c r="F21" s="72" t="s">
        <v>466</v>
      </c>
      <c r="G21" s="16"/>
      <c r="H21" s="120" t="s">
        <v>493</v>
      </c>
      <c r="I21" s="146"/>
      <c r="J21" s="16"/>
      <c r="Z21" s="3"/>
      <c r="AA21" s="2"/>
      <c r="AE21" s="3"/>
      <c r="AF21" s="2"/>
      <c r="AG21" s="2"/>
      <c r="AI21" s="3"/>
      <c r="AJ21" s="2"/>
      <c r="AK21" s="2"/>
      <c r="AS21" s="2"/>
      <c r="AT21" s="2"/>
      <c r="AU21" s="2"/>
      <c r="AV21" s="2"/>
    </row>
    <row r="22" spans="2:48" ht="187.2" hidden="1" x14ac:dyDescent="0.3">
      <c r="B22" s="30" t="s">
        <v>121</v>
      </c>
      <c r="C22" s="26" t="s">
        <v>146</v>
      </c>
      <c r="D22" s="17" t="s">
        <v>180</v>
      </c>
      <c r="E22" s="18" t="s">
        <v>362</v>
      </c>
      <c r="F22" s="72" t="s">
        <v>466</v>
      </c>
      <c r="G22" s="16"/>
      <c r="H22" s="120"/>
      <c r="I22" s="146"/>
      <c r="J22" s="16"/>
      <c r="Z22" s="3"/>
      <c r="AA22" s="2"/>
      <c r="AE22" s="3"/>
      <c r="AF22" s="2"/>
      <c r="AG22" s="2"/>
      <c r="AI22" s="3"/>
      <c r="AJ22" s="2"/>
      <c r="AK22" s="2"/>
      <c r="AS22" s="2"/>
      <c r="AT22" s="2"/>
      <c r="AU22" s="2"/>
      <c r="AV22" s="2"/>
    </row>
    <row r="23" spans="2:48" ht="270" hidden="1" customHeight="1" x14ac:dyDescent="0.3">
      <c r="B23" s="30" t="s">
        <v>121</v>
      </c>
      <c r="C23" s="27" t="s">
        <v>15</v>
      </c>
      <c r="D23" s="17" t="s">
        <v>181</v>
      </c>
      <c r="E23" s="18" t="s">
        <v>363</v>
      </c>
      <c r="F23" s="72" t="s">
        <v>466</v>
      </c>
      <c r="G23" s="16"/>
      <c r="H23" s="120"/>
      <c r="I23" s="146"/>
      <c r="J23" s="16"/>
      <c r="Z23" s="3"/>
      <c r="AA23" s="2"/>
      <c r="AE23" s="3"/>
      <c r="AF23" s="2"/>
      <c r="AG23" s="2"/>
      <c r="AI23" s="3"/>
      <c r="AJ23" s="2"/>
      <c r="AK23" s="2"/>
      <c r="AS23" s="2"/>
      <c r="AT23" s="2"/>
      <c r="AU23" s="2"/>
      <c r="AV23" s="2"/>
    </row>
    <row r="24" spans="2:48" ht="93.6" hidden="1" x14ac:dyDescent="0.3">
      <c r="B24" s="30" t="s">
        <v>121</v>
      </c>
      <c r="C24" s="26" t="s">
        <v>153</v>
      </c>
      <c r="D24" s="102" t="s">
        <v>182</v>
      </c>
      <c r="E24" s="17" t="s">
        <v>700</v>
      </c>
      <c r="F24" s="72" t="s">
        <v>466</v>
      </c>
      <c r="G24" s="16"/>
      <c r="H24" s="120"/>
      <c r="I24" s="146"/>
      <c r="J24" s="16"/>
      <c r="Z24" s="3"/>
      <c r="AA24" s="2"/>
      <c r="AE24" s="3"/>
      <c r="AF24" s="2"/>
      <c r="AG24" s="2"/>
      <c r="AI24" s="3"/>
      <c r="AJ24" s="2"/>
      <c r="AK24" s="2"/>
      <c r="AS24" s="2"/>
      <c r="AT24" s="2"/>
      <c r="AU24" s="2"/>
      <c r="AV24" s="2"/>
    </row>
    <row r="25" spans="2:48" ht="124.8" hidden="1" x14ac:dyDescent="0.3">
      <c r="B25" s="30" t="s">
        <v>121</v>
      </c>
      <c r="C25" s="27" t="s">
        <v>154</v>
      </c>
      <c r="D25" s="102" t="s">
        <v>183</v>
      </c>
      <c r="E25" s="17" t="s">
        <v>699</v>
      </c>
      <c r="F25" s="72" t="s">
        <v>466</v>
      </c>
      <c r="G25" s="16"/>
      <c r="H25" s="120"/>
      <c r="I25" s="146"/>
      <c r="J25" s="16"/>
      <c r="Z25" s="3"/>
      <c r="AA25" s="2"/>
      <c r="AE25" s="3"/>
      <c r="AF25" s="2"/>
      <c r="AG25" s="2"/>
      <c r="AI25" s="3"/>
      <c r="AJ25" s="2"/>
      <c r="AK25" s="2"/>
      <c r="AS25" s="2"/>
      <c r="AT25" s="2"/>
      <c r="AU25" s="2"/>
      <c r="AV25" s="2"/>
    </row>
    <row r="26" spans="2:48" ht="62.4" hidden="1" x14ac:dyDescent="0.3">
      <c r="B26" s="30" t="s">
        <v>121</v>
      </c>
      <c r="C26" s="26" t="s">
        <v>155</v>
      </c>
      <c r="D26" s="102" t="s">
        <v>184</v>
      </c>
      <c r="E26" s="133" t="s">
        <v>702</v>
      </c>
      <c r="F26" s="72" t="s">
        <v>466</v>
      </c>
      <c r="G26" s="16"/>
      <c r="H26" s="120"/>
      <c r="I26" s="146"/>
      <c r="J26" s="16"/>
      <c r="AE26" s="3"/>
      <c r="AF26" s="2"/>
      <c r="AG26" s="2"/>
      <c r="AI26" s="3"/>
      <c r="AJ26" s="2"/>
      <c r="AK26" s="2"/>
    </row>
    <row r="27" spans="2:48" ht="78" hidden="1" x14ac:dyDescent="0.3">
      <c r="B27" s="30" t="s">
        <v>121</v>
      </c>
      <c r="C27" s="27" t="s">
        <v>156</v>
      </c>
      <c r="D27" s="102" t="s">
        <v>185</v>
      </c>
      <c r="E27" s="15" t="s">
        <v>703</v>
      </c>
      <c r="F27" s="72" t="s">
        <v>466</v>
      </c>
      <c r="G27" s="16"/>
      <c r="H27" s="120"/>
      <c r="I27" s="146"/>
      <c r="J27" s="16"/>
      <c r="AI27" s="3"/>
      <c r="AJ27" s="2"/>
      <c r="AK27" s="2"/>
      <c r="AL27" s="1"/>
      <c r="AM27" s="1"/>
    </row>
    <row r="28" spans="2:48" ht="62.4" hidden="1" x14ac:dyDescent="0.3">
      <c r="B28" s="30" t="s">
        <v>121</v>
      </c>
      <c r="C28" s="26" t="s">
        <v>173</v>
      </c>
      <c r="D28" s="102" t="s">
        <v>186</v>
      </c>
      <c r="E28" s="15" t="s">
        <v>704</v>
      </c>
      <c r="F28" s="72" t="s">
        <v>466</v>
      </c>
      <c r="G28" s="16"/>
      <c r="H28" s="120"/>
      <c r="I28" s="146"/>
      <c r="J28" s="16"/>
      <c r="AI28" s="3"/>
      <c r="AJ28" s="2"/>
      <c r="AK28" s="2"/>
      <c r="AL28" s="2"/>
      <c r="AM28" s="2"/>
    </row>
    <row r="29" spans="2:48" ht="46.8" hidden="1" x14ac:dyDescent="0.3">
      <c r="B29" s="30" t="s">
        <v>121</v>
      </c>
      <c r="C29" s="27" t="s">
        <v>157</v>
      </c>
      <c r="D29" s="102" t="s">
        <v>187</v>
      </c>
      <c r="E29" s="15" t="s">
        <v>705</v>
      </c>
      <c r="F29" s="72" t="s">
        <v>466</v>
      </c>
      <c r="G29" s="16"/>
      <c r="H29" s="120"/>
      <c r="I29" s="146"/>
      <c r="J29" s="16"/>
      <c r="AI29" s="3"/>
      <c r="AJ29" s="2"/>
      <c r="AK29" s="2"/>
      <c r="AL29" s="2"/>
      <c r="AM29" s="2"/>
    </row>
    <row r="30" spans="2:48" ht="46.8" hidden="1" x14ac:dyDescent="0.3">
      <c r="B30" s="30" t="s">
        <v>121</v>
      </c>
      <c r="C30" s="26" t="s">
        <v>158</v>
      </c>
      <c r="D30" s="102" t="s">
        <v>188</v>
      </c>
      <c r="E30" s="15" t="s">
        <v>706</v>
      </c>
      <c r="F30" s="72" t="s">
        <v>466</v>
      </c>
      <c r="G30" s="16"/>
      <c r="H30" s="120"/>
      <c r="I30" s="146"/>
      <c r="J30" s="16"/>
      <c r="AI30" s="3"/>
      <c r="AJ30" s="2"/>
      <c r="AK30" s="2"/>
      <c r="AL30" s="3"/>
      <c r="AM30" s="2"/>
    </row>
    <row r="31" spans="2:48" ht="62.4" hidden="1" x14ac:dyDescent="0.3">
      <c r="B31" s="30" t="s">
        <v>121</v>
      </c>
      <c r="C31" s="27" t="s">
        <v>160</v>
      </c>
      <c r="D31" s="102" t="s">
        <v>189</v>
      </c>
      <c r="E31" s="15" t="s">
        <v>707</v>
      </c>
      <c r="F31" s="72" t="s">
        <v>466</v>
      </c>
      <c r="G31" s="16"/>
      <c r="H31" s="120"/>
      <c r="I31" s="146"/>
      <c r="J31" s="16"/>
      <c r="AI31" s="3"/>
      <c r="AJ31" s="2"/>
      <c r="AK31" s="2"/>
      <c r="AL31" s="2"/>
      <c r="AM31" s="2"/>
    </row>
    <row r="32" spans="2:48" ht="109.2" hidden="1" x14ac:dyDescent="0.3">
      <c r="B32" s="30" t="s">
        <v>121</v>
      </c>
      <c r="C32" s="26" t="s">
        <v>174</v>
      </c>
      <c r="D32" s="102" t="s">
        <v>190</v>
      </c>
      <c r="E32" s="15" t="s">
        <v>708</v>
      </c>
      <c r="F32" s="72" t="s">
        <v>466</v>
      </c>
      <c r="G32" s="16"/>
      <c r="H32" s="120"/>
      <c r="I32" s="146"/>
      <c r="J32" s="16"/>
      <c r="AI32" s="3"/>
      <c r="AJ32" s="2"/>
      <c r="AK32" s="2"/>
      <c r="AL32" s="2"/>
      <c r="AM32" s="2"/>
    </row>
    <row r="33" spans="2:39" ht="177" hidden="1" customHeight="1" x14ac:dyDescent="0.3">
      <c r="B33" s="30" t="s">
        <v>121</v>
      </c>
      <c r="C33" s="27" t="s">
        <v>175</v>
      </c>
      <c r="D33" s="102" t="s">
        <v>191</v>
      </c>
      <c r="E33" s="15" t="s">
        <v>709</v>
      </c>
      <c r="F33" s="72" t="s">
        <v>466</v>
      </c>
      <c r="G33" s="16"/>
      <c r="H33" s="120"/>
      <c r="I33" s="146"/>
      <c r="J33" s="16"/>
      <c r="AI33" s="3"/>
      <c r="AJ33" s="2"/>
      <c r="AK33" s="2"/>
      <c r="AL33" s="2"/>
      <c r="AM33" s="2"/>
    </row>
    <row r="34" spans="2:39" ht="150.6" hidden="1" customHeight="1" x14ac:dyDescent="0.3">
      <c r="B34" s="30" t="s">
        <v>121</v>
      </c>
      <c r="C34" s="26" t="s">
        <v>176</v>
      </c>
      <c r="D34" s="102" t="s">
        <v>192</v>
      </c>
      <c r="E34" s="15" t="s">
        <v>710</v>
      </c>
      <c r="F34" s="72" t="s">
        <v>466</v>
      </c>
      <c r="G34" s="16"/>
      <c r="H34" s="120"/>
      <c r="I34" s="146"/>
      <c r="J34" s="16"/>
      <c r="AI34" s="3"/>
      <c r="AJ34" s="2"/>
      <c r="AK34" s="2"/>
      <c r="AL34" s="2"/>
      <c r="AM34" s="2"/>
    </row>
    <row r="35" spans="2:39" ht="153.6" hidden="1" customHeight="1" x14ac:dyDescent="0.3">
      <c r="B35" s="30" t="s">
        <v>121</v>
      </c>
      <c r="C35" s="27" t="s">
        <v>177</v>
      </c>
      <c r="D35" s="102" t="s">
        <v>193</v>
      </c>
      <c r="E35" s="15" t="s">
        <v>711</v>
      </c>
      <c r="F35" s="72" t="s">
        <v>466</v>
      </c>
      <c r="G35" s="16"/>
      <c r="H35" s="120"/>
      <c r="I35" s="146"/>
      <c r="J35" s="16"/>
      <c r="AI35" s="3"/>
      <c r="AJ35" s="2"/>
      <c r="AK35" s="2"/>
      <c r="AL35" s="2"/>
      <c r="AM35" s="2"/>
    </row>
    <row r="36" spans="2:39" ht="78" hidden="1" x14ac:dyDescent="0.3">
      <c r="B36" s="30" t="s">
        <v>121</v>
      </c>
      <c r="C36" s="26" t="s">
        <v>178</v>
      </c>
      <c r="D36" s="102" t="s">
        <v>194</v>
      </c>
      <c r="E36" s="15" t="s">
        <v>712</v>
      </c>
      <c r="F36" s="72" t="s">
        <v>466</v>
      </c>
      <c r="G36" s="16"/>
      <c r="H36" s="120"/>
      <c r="I36" s="146"/>
      <c r="J36" s="16"/>
      <c r="AI36" s="3"/>
      <c r="AJ36" s="2"/>
      <c r="AK36" s="2"/>
      <c r="AL36" s="2"/>
      <c r="AM36" s="2"/>
    </row>
    <row r="37" spans="2:39" ht="156" hidden="1" x14ac:dyDescent="0.3">
      <c r="B37" s="30" t="s">
        <v>121</v>
      </c>
      <c r="C37" s="27" t="s">
        <v>179</v>
      </c>
      <c r="D37" s="102" t="s">
        <v>195</v>
      </c>
      <c r="E37" s="15" t="s">
        <v>701</v>
      </c>
      <c r="F37" s="72" t="s">
        <v>466</v>
      </c>
      <c r="G37" s="16"/>
      <c r="H37" s="120"/>
      <c r="I37" s="146"/>
      <c r="J37" s="16"/>
      <c r="AI37" s="3"/>
      <c r="AJ37" s="2"/>
      <c r="AK37" s="2"/>
      <c r="AL37" s="2"/>
      <c r="AM37" s="2"/>
    </row>
    <row r="38" spans="2:39" s="6" customFormat="1" ht="25.8" x14ac:dyDescent="0.3">
      <c r="B38" s="30" t="s">
        <v>376</v>
      </c>
      <c r="C38" s="44" t="s">
        <v>376</v>
      </c>
      <c r="D38" s="46"/>
      <c r="E38" s="46"/>
      <c r="F38" s="47"/>
      <c r="G38" s="47"/>
      <c r="H38" s="125">
        <f t="shared" ref="H38" si="0">(COUNTIF(H39:H42, "Oui")/COUNTA(H39:H42))*100</f>
        <v>0</v>
      </c>
      <c r="I38" s="120"/>
      <c r="J38" s="47"/>
      <c r="AJ38" s="13"/>
      <c r="AK38" s="14"/>
      <c r="AL38" s="14"/>
      <c r="AM38" s="14"/>
    </row>
    <row r="39" spans="2:39" ht="235.8" hidden="1" customHeight="1" x14ac:dyDescent="0.3">
      <c r="B39" s="30" t="s">
        <v>376</v>
      </c>
      <c r="C39" s="66" t="s">
        <v>8</v>
      </c>
      <c r="D39" s="17" t="s">
        <v>196</v>
      </c>
      <c r="E39" s="15" t="s">
        <v>365</v>
      </c>
      <c r="F39" s="72" t="s">
        <v>466</v>
      </c>
      <c r="G39" s="16"/>
      <c r="H39" s="120" t="s">
        <v>493</v>
      </c>
      <c r="I39" s="146"/>
      <c r="J39" s="16"/>
      <c r="AJ39" s="3"/>
      <c r="AK39" s="2"/>
      <c r="AL39" s="2"/>
      <c r="AM39" s="2"/>
    </row>
    <row r="40" spans="2:39" ht="171.6" hidden="1" x14ac:dyDescent="0.3">
      <c r="B40" s="30" t="s">
        <v>376</v>
      </c>
      <c r="C40" s="26" t="s">
        <v>9</v>
      </c>
      <c r="D40" s="17" t="s">
        <v>197</v>
      </c>
      <c r="E40" s="15" t="s">
        <v>366</v>
      </c>
      <c r="F40" s="72" t="s">
        <v>466</v>
      </c>
      <c r="G40" s="16"/>
      <c r="H40" s="120"/>
      <c r="I40" s="146"/>
      <c r="J40" s="16"/>
      <c r="AJ40" s="3"/>
      <c r="AK40" s="2"/>
      <c r="AL40" s="2"/>
      <c r="AM40" s="2"/>
    </row>
    <row r="41" spans="2:39" ht="78" hidden="1" x14ac:dyDescent="0.3">
      <c r="B41" s="30" t="s">
        <v>376</v>
      </c>
      <c r="C41" s="66" t="s">
        <v>172</v>
      </c>
      <c r="D41" s="35" t="s">
        <v>198</v>
      </c>
      <c r="E41" s="15" t="s">
        <v>367</v>
      </c>
      <c r="F41" s="72" t="s">
        <v>466</v>
      </c>
      <c r="G41" s="16"/>
      <c r="H41" s="120"/>
      <c r="I41" s="146"/>
      <c r="J41" s="16"/>
      <c r="AJ41" s="3"/>
      <c r="AK41" s="2"/>
      <c r="AL41" s="2"/>
      <c r="AM41" s="2"/>
    </row>
    <row r="42" spans="2:39" ht="46.8" hidden="1" x14ac:dyDescent="0.3">
      <c r="B42" s="30" t="s">
        <v>376</v>
      </c>
      <c r="C42" s="26" t="s">
        <v>11</v>
      </c>
      <c r="D42" s="17" t="s">
        <v>199</v>
      </c>
      <c r="E42" s="16" t="s">
        <v>713</v>
      </c>
      <c r="F42" s="72" t="s">
        <v>466</v>
      </c>
      <c r="G42" s="16"/>
      <c r="H42" s="120"/>
      <c r="I42" s="146"/>
      <c r="J42" s="16"/>
      <c r="AI42" s="3"/>
      <c r="AJ42" s="2"/>
      <c r="AK42" s="2"/>
      <c r="AL42" s="2"/>
    </row>
    <row r="43" spans="2:39" ht="25.8" x14ac:dyDescent="0.3">
      <c r="B43" s="83" t="s">
        <v>470</v>
      </c>
      <c r="C43" s="52" t="s">
        <v>470</v>
      </c>
      <c r="D43" s="84"/>
      <c r="E43" s="80"/>
      <c r="F43" s="80"/>
      <c r="G43" s="80"/>
      <c r="H43" s="125">
        <f>(COUNTIF(H44:H45, "Oui")/COUNTA(H44:H45))*100</f>
        <v>0</v>
      </c>
      <c r="I43" s="120"/>
      <c r="J43" s="80"/>
      <c r="AJ43" s="3"/>
      <c r="AK43" s="2"/>
      <c r="AL43" s="2"/>
      <c r="AM43" s="2"/>
    </row>
    <row r="44" spans="2:39" ht="207" hidden="1" x14ac:dyDescent="0.3">
      <c r="B44" s="83" t="s">
        <v>470</v>
      </c>
      <c r="C44" s="81" t="s">
        <v>471</v>
      </c>
      <c r="D44" s="104" t="s">
        <v>472</v>
      </c>
      <c r="E44" s="15" t="s">
        <v>714</v>
      </c>
      <c r="F44" s="72" t="s">
        <v>466</v>
      </c>
      <c r="G44" s="16"/>
      <c r="H44" s="120" t="s">
        <v>493</v>
      </c>
      <c r="I44" s="146"/>
      <c r="J44" s="16"/>
      <c r="AJ44" s="3"/>
      <c r="AK44" s="2"/>
      <c r="AL44" s="2"/>
      <c r="AM44" s="2"/>
    </row>
    <row r="45" spans="2:39" ht="110.4" hidden="1" x14ac:dyDescent="0.3">
      <c r="B45" s="83" t="s">
        <v>470</v>
      </c>
      <c r="C45" s="82" t="s">
        <v>474</v>
      </c>
      <c r="D45" s="104" t="s">
        <v>473</v>
      </c>
      <c r="E45" s="15" t="s">
        <v>715</v>
      </c>
      <c r="F45" s="72" t="s">
        <v>466</v>
      </c>
      <c r="G45" s="16"/>
      <c r="H45" s="120" t="s">
        <v>493</v>
      </c>
      <c r="I45" s="146"/>
      <c r="J45" s="16"/>
      <c r="AJ45" s="3"/>
      <c r="AK45" s="2"/>
      <c r="AL45" s="2"/>
      <c r="AM45" s="2"/>
    </row>
  </sheetData>
  <phoneticPr fontId="4" type="noConversion"/>
  <conditionalFormatting sqref="F3:F6 F8:F19 F21:F37 F39:F42 F44:F45">
    <cfRule type="containsText" dxfId="399" priority="77" operator="containsText" text="Non">
      <formula>NOT(ISERROR(SEARCH("Non",F3)))</formula>
    </cfRule>
    <cfRule type="containsText" dxfId="398" priority="78" operator="containsText" text="Partiellement">
      <formula>NOT(ISERROR(SEARCH("Partiellement",F3)))</formula>
    </cfRule>
    <cfRule type="containsText" dxfId="397" priority="79" operator="containsText" text="Oui">
      <formula>NOT(ISERROR(SEARCH("Oui",F3)))</formula>
    </cfRule>
  </conditionalFormatting>
  <conditionalFormatting sqref="H2">
    <cfRule type="cellIs" dxfId="396" priority="61" operator="greaterThan">
      <formula>75</formula>
    </cfRule>
    <cfRule type="cellIs" dxfId="395" priority="62" operator="between">
      <formula>50</formula>
      <formula>75</formula>
    </cfRule>
    <cfRule type="cellIs" dxfId="394" priority="63" operator="between">
      <formula>25</formula>
      <formula>50</formula>
    </cfRule>
    <cfRule type="cellIs" dxfId="393" priority="64" operator="lessThan">
      <formula>25</formula>
    </cfRule>
    <cfRule type="cellIs" dxfId="392" priority="65" operator="between">
      <formula>0</formula>
      <formula>"24.9"</formula>
    </cfRule>
  </conditionalFormatting>
  <conditionalFormatting sqref="H3:H6 H8:H19 H21:H37 H39:H42 H44:H45">
    <cfRule type="containsText" dxfId="391" priority="71" operator="containsText" text="Partiellement">
      <formula>NOT(ISERROR(SEARCH("Partiellement",H3)))</formula>
    </cfRule>
    <cfRule type="containsText" dxfId="390" priority="72" operator="containsText" text="Non Conforme">
      <formula>NOT(ISERROR(SEARCH("Non Conforme",H3)))</formula>
    </cfRule>
    <cfRule type="containsText" dxfId="389" priority="73" operator="containsText" text="Conforme">
      <formula>NOT(ISERROR(SEARCH("Conforme",H3)))</formula>
    </cfRule>
    <cfRule type="containsText" dxfId="388" priority="74" operator="containsText" text="Non">
      <formula>NOT(ISERROR(SEARCH("Non",H3)))</formula>
    </cfRule>
    <cfRule type="containsText" dxfId="387" priority="75" operator="containsText" text="Partiellement">
      <formula>NOT(ISERROR(SEARCH("Partiellement",H3)))</formula>
    </cfRule>
    <cfRule type="containsText" dxfId="386" priority="76" operator="containsText" text="Oui">
      <formula>NOT(ISERROR(SEARCH("Oui",H3)))</formula>
    </cfRule>
  </conditionalFormatting>
  <conditionalFormatting sqref="H7">
    <cfRule type="cellIs" dxfId="385" priority="56" operator="greaterThan">
      <formula>75</formula>
    </cfRule>
    <cfRule type="cellIs" dxfId="384" priority="57" operator="between">
      <formula>50</formula>
      <formula>75</formula>
    </cfRule>
    <cfRule type="cellIs" dxfId="383" priority="58" operator="between">
      <formula>25</formula>
      <formula>50</formula>
    </cfRule>
    <cfRule type="cellIs" dxfId="382" priority="59" operator="lessThan">
      <formula>25</formula>
    </cfRule>
    <cfRule type="cellIs" dxfId="381" priority="60" operator="between">
      <formula>0</formula>
      <formula>"24.9"</formula>
    </cfRule>
  </conditionalFormatting>
  <conditionalFormatting sqref="H20">
    <cfRule type="cellIs" dxfId="380" priority="51" operator="greaterThan">
      <formula>75</formula>
    </cfRule>
    <cfRule type="cellIs" dxfId="379" priority="52" operator="between">
      <formula>50</formula>
      <formula>75</formula>
    </cfRule>
    <cfRule type="cellIs" dxfId="378" priority="53" operator="between">
      <formula>25</formula>
      <formula>50</formula>
    </cfRule>
    <cfRule type="cellIs" dxfId="377" priority="54" operator="lessThan">
      <formula>25</formula>
    </cfRule>
    <cfRule type="cellIs" dxfId="376" priority="55" operator="between">
      <formula>0</formula>
      <formula>"24.9"</formula>
    </cfRule>
  </conditionalFormatting>
  <conditionalFormatting sqref="H38">
    <cfRule type="cellIs" dxfId="375" priority="46" operator="greaterThan">
      <formula>75</formula>
    </cfRule>
    <cfRule type="cellIs" dxfId="374" priority="47" operator="between">
      <formula>50</formula>
      <formula>75</formula>
    </cfRule>
    <cfRule type="cellIs" dxfId="373" priority="48" operator="between">
      <formula>25</formula>
      <formula>50</formula>
    </cfRule>
    <cfRule type="cellIs" dxfId="372" priority="49" operator="lessThan">
      <formula>25</formula>
    </cfRule>
    <cfRule type="cellIs" dxfId="371" priority="50" operator="between">
      <formula>0</formula>
      <formula>"24.9"</formula>
    </cfRule>
  </conditionalFormatting>
  <conditionalFormatting sqref="H43">
    <cfRule type="cellIs" dxfId="370" priority="41" operator="greaterThan">
      <formula>75</formula>
    </cfRule>
    <cfRule type="cellIs" dxfId="369" priority="42" operator="between">
      <formula>50</formula>
      <formula>75</formula>
    </cfRule>
    <cfRule type="cellIs" dxfId="368" priority="43" operator="between">
      <formula>25</formula>
      <formula>50</formula>
    </cfRule>
    <cfRule type="cellIs" dxfId="367" priority="44" operator="lessThan">
      <formula>25</formula>
    </cfRule>
    <cfRule type="cellIs" dxfId="366" priority="45" operator="between">
      <formula>0</formula>
      <formula>"24.9"</formula>
    </cfRule>
  </conditionalFormatting>
  <conditionalFormatting sqref="I2">
    <cfRule type="containsText" dxfId="365" priority="33" operator="containsText" text="Non Conforme">
      <formula>NOT(ISERROR(SEARCH("Non Conforme",I2)))</formula>
    </cfRule>
    <cfRule type="containsText" dxfId="364" priority="34" operator="containsText" text="Conforme">
      <formula>NOT(ISERROR(SEARCH("Conforme",I2)))</formula>
    </cfRule>
    <cfRule type="containsText" dxfId="363" priority="35" operator="containsText" text="Partiellement">
      <formula>NOT(ISERROR(SEARCH("Partiellement",I2)))</formula>
    </cfRule>
    <cfRule type="containsText" dxfId="362" priority="36" operator="containsText" text="Non Conforme">
      <formula>NOT(ISERROR(SEARCH("Non Conforme",I2)))</formula>
    </cfRule>
    <cfRule type="containsText" dxfId="361" priority="37" operator="containsText" text="Conforme">
      <formula>NOT(ISERROR(SEARCH("Conforme",I2)))</formula>
    </cfRule>
    <cfRule type="containsText" dxfId="360" priority="38" operator="containsText" text="Non">
      <formula>NOT(ISERROR(SEARCH("Non",I2)))</formula>
    </cfRule>
    <cfRule type="containsText" dxfId="359" priority="39" operator="containsText" text="Partiellement">
      <formula>NOT(ISERROR(SEARCH("Partiellement",I2)))</formula>
    </cfRule>
    <cfRule type="containsText" dxfId="358" priority="40" operator="containsText" text="Oui">
      <formula>NOT(ISERROR(SEARCH("Oui",I2)))</formula>
    </cfRule>
  </conditionalFormatting>
  <conditionalFormatting sqref="I7">
    <cfRule type="containsText" dxfId="357" priority="25" operator="containsText" text="Non Conforme">
      <formula>NOT(ISERROR(SEARCH("Non Conforme",I7)))</formula>
    </cfRule>
    <cfRule type="containsText" dxfId="356" priority="26" operator="containsText" text="Conforme">
      <formula>NOT(ISERROR(SEARCH("Conforme",I7)))</formula>
    </cfRule>
    <cfRule type="containsText" dxfId="355" priority="27" operator="containsText" text="Partiellement">
      <formula>NOT(ISERROR(SEARCH("Partiellement",I7)))</formula>
    </cfRule>
    <cfRule type="containsText" dxfId="354" priority="28" operator="containsText" text="Non Conforme">
      <formula>NOT(ISERROR(SEARCH("Non Conforme",I7)))</formula>
    </cfRule>
    <cfRule type="containsText" dxfId="353" priority="29" operator="containsText" text="Conforme">
      <formula>NOT(ISERROR(SEARCH("Conforme",I7)))</formula>
    </cfRule>
    <cfRule type="containsText" dxfId="352" priority="30" operator="containsText" text="Non">
      <formula>NOT(ISERROR(SEARCH("Non",I7)))</formula>
    </cfRule>
    <cfRule type="containsText" dxfId="351" priority="31" operator="containsText" text="Partiellement">
      <formula>NOT(ISERROR(SEARCH("Partiellement",I7)))</formula>
    </cfRule>
    <cfRule type="containsText" dxfId="350" priority="32" operator="containsText" text="Oui">
      <formula>NOT(ISERROR(SEARCH("Oui",I7)))</formula>
    </cfRule>
  </conditionalFormatting>
  <conditionalFormatting sqref="I20">
    <cfRule type="containsText" dxfId="349" priority="17" operator="containsText" text="Non Conforme">
      <formula>NOT(ISERROR(SEARCH("Non Conforme",I20)))</formula>
    </cfRule>
    <cfRule type="containsText" dxfId="348" priority="18" operator="containsText" text="Conforme">
      <formula>NOT(ISERROR(SEARCH("Conforme",I20)))</formula>
    </cfRule>
    <cfRule type="containsText" dxfId="347" priority="19" operator="containsText" text="Partiellement">
      <formula>NOT(ISERROR(SEARCH("Partiellement",I20)))</formula>
    </cfRule>
    <cfRule type="containsText" dxfId="346" priority="20" operator="containsText" text="Non Conforme">
      <formula>NOT(ISERROR(SEARCH("Non Conforme",I20)))</formula>
    </cfRule>
    <cfRule type="containsText" dxfId="345" priority="21" operator="containsText" text="Conforme">
      <formula>NOT(ISERROR(SEARCH("Conforme",I20)))</formula>
    </cfRule>
    <cfRule type="containsText" dxfId="344" priority="22" operator="containsText" text="Non">
      <formula>NOT(ISERROR(SEARCH("Non",I20)))</formula>
    </cfRule>
    <cfRule type="containsText" dxfId="343" priority="23" operator="containsText" text="Partiellement">
      <formula>NOT(ISERROR(SEARCH("Partiellement",I20)))</formula>
    </cfRule>
    <cfRule type="containsText" dxfId="342" priority="24" operator="containsText" text="Oui">
      <formula>NOT(ISERROR(SEARCH("Oui",I20)))</formula>
    </cfRule>
  </conditionalFormatting>
  <conditionalFormatting sqref="I38">
    <cfRule type="containsText" dxfId="341" priority="9" operator="containsText" text="Non Conforme">
      <formula>NOT(ISERROR(SEARCH("Non Conforme",I38)))</formula>
    </cfRule>
    <cfRule type="containsText" dxfId="340" priority="10" operator="containsText" text="Conforme">
      <formula>NOT(ISERROR(SEARCH("Conforme",I38)))</formula>
    </cfRule>
    <cfRule type="containsText" dxfId="339" priority="11" operator="containsText" text="Partiellement">
      <formula>NOT(ISERROR(SEARCH("Partiellement",I38)))</formula>
    </cfRule>
    <cfRule type="containsText" dxfId="338" priority="12" operator="containsText" text="Non Conforme">
      <formula>NOT(ISERROR(SEARCH("Non Conforme",I38)))</formula>
    </cfRule>
    <cfRule type="containsText" dxfId="337" priority="13" operator="containsText" text="Conforme">
      <formula>NOT(ISERROR(SEARCH("Conforme",I38)))</formula>
    </cfRule>
    <cfRule type="containsText" dxfId="336" priority="14" operator="containsText" text="Non">
      <formula>NOT(ISERROR(SEARCH("Non",I38)))</formula>
    </cfRule>
    <cfRule type="containsText" dxfId="335" priority="15" operator="containsText" text="Partiellement">
      <formula>NOT(ISERROR(SEARCH("Partiellement",I38)))</formula>
    </cfRule>
    <cfRule type="containsText" dxfId="334" priority="16" operator="containsText" text="Oui">
      <formula>NOT(ISERROR(SEARCH("Oui",I38)))</formula>
    </cfRule>
  </conditionalFormatting>
  <conditionalFormatting sqref="I43">
    <cfRule type="containsText" dxfId="333" priority="1" operator="containsText" text="Non Conforme">
      <formula>NOT(ISERROR(SEARCH("Non Conforme",I43)))</formula>
    </cfRule>
    <cfRule type="containsText" dxfId="332" priority="2" operator="containsText" text="Conforme">
      <formula>NOT(ISERROR(SEARCH("Conforme",I43)))</formula>
    </cfRule>
    <cfRule type="containsText" dxfId="331" priority="3" operator="containsText" text="Partiellement">
      <formula>NOT(ISERROR(SEARCH("Partiellement",I43)))</formula>
    </cfRule>
    <cfRule type="containsText" dxfId="330" priority="4" operator="containsText" text="Non Conforme">
      <formula>NOT(ISERROR(SEARCH("Non Conforme",I43)))</formula>
    </cfRule>
    <cfRule type="containsText" dxfId="329" priority="5" operator="containsText" text="Conforme">
      <formula>NOT(ISERROR(SEARCH("Conforme",I43)))</formula>
    </cfRule>
    <cfRule type="containsText" dxfId="328" priority="6" operator="containsText" text="Non">
      <formula>NOT(ISERROR(SEARCH("Non",I43)))</formula>
    </cfRule>
    <cfRule type="containsText" dxfId="327" priority="7" operator="containsText" text="Partiellement">
      <formula>NOT(ISERROR(SEARCH("Partiellement",I43)))</formula>
    </cfRule>
    <cfRule type="containsText" dxfId="326" priority="8" operator="containsText" text="Oui">
      <formula>NOT(ISERROR(SEARCH("Oui",I43)))</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7E90-5266-4940-9B34-54D7D0A20DDD}">
  <sheetPr>
    <tabColor rgb="FFFF0000"/>
  </sheetPr>
  <dimension ref="A1:AX155"/>
  <sheetViews>
    <sheetView zoomScale="77" zoomScaleNormal="85" workbookViewId="0">
      <selection activeCell="F17" sqref="F17"/>
    </sheetView>
  </sheetViews>
  <sheetFormatPr defaultColWidth="8.88671875" defaultRowHeight="14.4" x14ac:dyDescent="0.3"/>
  <cols>
    <col min="1" max="1" width="17.6640625" customWidth="1"/>
    <col min="2" max="2" width="29" style="4" customWidth="1"/>
    <col min="3" max="3" width="121.6640625" customWidth="1"/>
    <col min="4" max="4" width="96.21875" customWidth="1"/>
    <col min="5" max="5" width="34" customWidth="1"/>
    <col min="6" max="6" width="104.33203125" customWidth="1"/>
    <col min="7" max="7" width="53.33203125" customWidth="1"/>
    <col min="8" max="8" width="70.44140625" customWidth="1"/>
    <col min="9" max="9" width="136.44140625" customWidth="1"/>
  </cols>
  <sheetData>
    <row r="1" spans="1:50" s="61" customFormat="1" ht="32.4" x14ac:dyDescent="0.6">
      <c r="A1" s="57" t="s">
        <v>0</v>
      </c>
      <c r="B1" s="57" t="s">
        <v>7</v>
      </c>
      <c r="C1" s="58" t="s">
        <v>1</v>
      </c>
      <c r="D1" s="58" t="s">
        <v>372</v>
      </c>
      <c r="E1" s="58" t="s">
        <v>371</v>
      </c>
      <c r="F1" s="58" t="s">
        <v>4</v>
      </c>
      <c r="G1" s="117" t="s">
        <v>767</v>
      </c>
      <c r="H1" s="117" t="s">
        <v>766</v>
      </c>
      <c r="I1" s="64" t="s">
        <v>5</v>
      </c>
    </row>
    <row r="2" spans="1:50" s="6" customFormat="1" ht="40.799999999999997" x14ac:dyDescent="0.3">
      <c r="A2" s="33" t="s">
        <v>275</v>
      </c>
      <c r="B2" s="41" t="s">
        <v>655</v>
      </c>
      <c r="C2" s="42"/>
      <c r="D2" s="42"/>
      <c r="E2" s="39"/>
      <c r="F2" s="42"/>
      <c r="G2" s="42">
        <f t="shared" ref="G2:G4" si="0">(COUNTIF(G3:G44, "Oui")/COUNTA(G3:G44))*100</f>
        <v>0</v>
      </c>
      <c r="H2" s="120"/>
      <c r="I2" s="43"/>
    </row>
    <row r="3" spans="1:50" ht="40.799999999999997" hidden="1" x14ac:dyDescent="0.3">
      <c r="A3" s="33" t="s">
        <v>275</v>
      </c>
      <c r="B3" s="32"/>
      <c r="C3" s="8"/>
      <c r="D3" s="9"/>
      <c r="E3" s="73" t="s">
        <v>467</v>
      </c>
      <c r="F3" s="8" t="s">
        <v>521</v>
      </c>
      <c r="G3" s="120" t="s">
        <v>493</v>
      </c>
      <c r="H3" s="146"/>
      <c r="I3" s="8"/>
    </row>
    <row r="4" spans="1:50" s="6" customFormat="1" ht="40.799999999999997" x14ac:dyDescent="0.3">
      <c r="A4" s="33" t="s">
        <v>384</v>
      </c>
      <c r="B4" s="36" t="s">
        <v>384</v>
      </c>
      <c r="C4" s="39"/>
      <c r="D4" s="40"/>
      <c r="E4" s="39"/>
      <c r="F4" s="39"/>
      <c r="G4" s="125">
        <f t="shared" si="0"/>
        <v>0</v>
      </c>
      <c r="H4" s="120"/>
      <c r="I4" s="39"/>
    </row>
    <row r="5" spans="1:50" ht="171.6" hidden="1" x14ac:dyDescent="0.3">
      <c r="A5" s="33" t="s">
        <v>384</v>
      </c>
      <c r="B5" s="65" t="s">
        <v>276</v>
      </c>
      <c r="C5" s="11" t="s">
        <v>522</v>
      </c>
      <c r="D5" s="11" t="s">
        <v>277</v>
      </c>
      <c r="E5" s="72" t="s">
        <v>466</v>
      </c>
      <c r="F5" s="8"/>
      <c r="G5" s="120" t="s">
        <v>493</v>
      </c>
      <c r="H5" s="146"/>
      <c r="I5" s="8"/>
    </row>
    <row r="6" spans="1:50" ht="187.2" hidden="1" x14ac:dyDescent="0.3">
      <c r="A6" s="33" t="s">
        <v>384</v>
      </c>
      <c r="B6" s="65" t="s">
        <v>278</v>
      </c>
      <c r="C6" s="11" t="s">
        <v>523</v>
      </c>
      <c r="D6" s="11" t="s">
        <v>279</v>
      </c>
      <c r="E6" s="72" t="s">
        <v>468</v>
      </c>
      <c r="F6" s="8"/>
      <c r="G6" s="120" t="s">
        <v>493</v>
      </c>
      <c r="H6" s="146"/>
      <c r="I6" s="8"/>
      <c r="AV6" s="1"/>
      <c r="AW6" s="1"/>
      <c r="AX6" s="1"/>
    </row>
    <row r="7" spans="1:50" ht="296.39999999999998" hidden="1" x14ac:dyDescent="0.3">
      <c r="A7" s="33" t="s">
        <v>384</v>
      </c>
      <c r="B7" s="65" t="s">
        <v>280</v>
      </c>
      <c r="C7" s="11" t="s">
        <v>524</v>
      </c>
      <c r="D7" s="11" t="s">
        <v>281</v>
      </c>
      <c r="E7" s="72" t="s">
        <v>466</v>
      </c>
      <c r="F7" s="8"/>
      <c r="G7" s="120" t="s">
        <v>493</v>
      </c>
      <c r="H7" s="146"/>
      <c r="I7" s="8"/>
      <c r="AJ7" s="1"/>
      <c r="AK7" s="1"/>
      <c r="AV7" s="3"/>
      <c r="AW7" s="2"/>
      <c r="AX7" s="2"/>
    </row>
    <row r="8" spans="1:50" ht="203.4" hidden="1" customHeight="1" x14ac:dyDescent="0.3">
      <c r="A8" s="33" t="s">
        <v>384</v>
      </c>
      <c r="B8" s="65" t="s">
        <v>282</v>
      </c>
      <c r="C8" s="11" t="s">
        <v>525</v>
      </c>
      <c r="D8" s="11" t="s">
        <v>283</v>
      </c>
      <c r="E8" s="72" t="s">
        <v>466</v>
      </c>
      <c r="F8" s="8"/>
      <c r="G8" s="120" t="s">
        <v>493</v>
      </c>
      <c r="H8" s="146"/>
      <c r="I8" s="8"/>
      <c r="AJ8" s="3"/>
      <c r="AK8" s="2"/>
      <c r="AV8" s="3"/>
      <c r="AW8" s="2"/>
      <c r="AX8" s="2"/>
    </row>
    <row r="9" spans="1:50" ht="409.2" hidden="1" customHeight="1" x14ac:dyDescent="0.3">
      <c r="A9" s="33" t="s">
        <v>384</v>
      </c>
      <c r="B9" s="65" t="s">
        <v>203</v>
      </c>
      <c r="C9" s="11" t="s">
        <v>526</v>
      </c>
      <c r="D9" s="11" t="s">
        <v>284</v>
      </c>
      <c r="E9" s="72" t="s">
        <v>466</v>
      </c>
      <c r="F9" s="8"/>
      <c r="G9" s="120" t="s">
        <v>493</v>
      </c>
      <c r="H9" s="146"/>
      <c r="I9" s="8"/>
      <c r="AJ9" s="3"/>
      <c r="AK9" s="2"/>
      <c r="AV9" s="3"/>
      <c r="AW9" s="2"/>
      <c r="AX9" s="2"/>
    </row>
    <row r="10" spans="1:50" ht="93.6" hidden="1" x14ac:dyDescent="0.3">
      <c r="A10" s="33" t="s">
        <v>384</v>
      </c>
      <c r="B10" s="65" t="s">
        <v>206</v>
      </c>
      <c r="C10" s="11" t="s">
        <v>527</v>
      </c>
      <c r="D10" s="11" t="s">
        <v>285</v>
      </c>
      <c r="E10" s="72" t="s">
        <v>466</v>
      </c>
      <c r="F10" s="8"/>
      <c r="G10" s="120" t="s">
        <v>493</v>
      </c>
      <c r="H10" s="146"/>
      <c r="I10" s="8"/>
      <c r="AJ10" s="3"/>
      <c r="AK10" s="2"/>
      <c r="AV10" s="3"/>
      <c r="AW10" s="2"/>
      <c r="AX10" s="2"/>
    </row>
    <row r="11" spans="1:50" ht="156" hidden="1" x14ac:dyDescent="0.3">
      <c r="A11" s="33" t="s">
        <v>384</v>
      </c>
      <c r="B11" s="65" t="s">
        <v>220</v>
      </c>
      <c r="C11" s="11" t="s">
        <v>528</v>
      </c>
      <c r="D11" s="11" t="s">
        <v>286</v>
      </c>
      <c r="E11" s="72" t="s">
        <v>467</v>
      </c>
      <c r="F11" s="8" t="s">
        <v>754</v>
      </c>
      <c r="G11" s="120" t="s">
        <v>493</v>
      </c>
      <c r="H11" s="146"/>
      <c r="I11" s="8"/>
      <c r="AJ11" s="3"/>
      <c r="AK11" s="2"/>
      <c r="AV11" s="3"/>
      <c r="AW11" s="2"/>
      <c r="AX11" s="2"/>
    </row>
    <row r="12" spans="1:50" ht="62.4" hidden="1" x14ac:dyDescent="0.3">
      <c r="A12" s="33" t="s">
        <v>384</v>
      </c>
      <c r="B12" s="65" t="s">
        <v>287</v>
      </c>
      <c r="C12" s="11" t="s">
        <v>529</v>
      </c>
      <c r="D12" s="11" t="s">
        <v>288</v>
      </c>
      <c r="E12" s="72" t="s">
        <v>466</v>
      </c>
      <c r="F12" s="8"/>
      <c r="G12" s="120" t="s">
        <v>493</v>
      </c>
      <c r="H12" s="146"/>
      <c r="I12" s="8"/>
      <c r="AJ12" s="3"/>
      <c r="AK12" s="2"/>
      <c r="AV12" s="3"/>
      <c r="AW12" s="2"/>
      <c r="AX12" s="2"/>
    </row>
    <row r="13" spans="1:50" ht="187.2" hidden="1" x14ac:dyDescent="0.3">
      <c r="A13" s="33" t="s">
        <v>384</v>
      </c>
      <c r="B13" s="65" t="s">
        <v>289</v>
      </c>
      <c r="C13" s="11" t="s">
        <v>530</v>
      </c>
      <c r="D13" s="11" t="s">
        <v>290</v>
      </c>
      <c r="E13" s="72" t="s">
        <v>467</v>
      </c>
      <c r="F13" s="8" t="s">
        <v>760</v>
      </c>
      <c r="G13" s="120" t="s">
        <v>493</v>
      </c>
      <c r="H13" s="146"/>
      <c r="I13" s="8"/>
      <c r="AJ13" s="3"/>
      <c r="AK13" s="2"/>
      <c r="AV13" s="3"/>
      <c r="AW13" s="2"/>
      <c r="AX13" s="2"/>
    </row>
    <row r="14" spans="1:50" ht="312" hidden="1" x14ac:dyDescent="0.3">
      <c r="A14" s="33" t="s">
        <v>384</v>
      </c>
      <c r="B14" s="65" t="s">
        <v>221</v>
      </c>
      <c r="C14" s="11" t="s">
        <v>531</v>
      </c>
      <c r="D14" s="11" t="s">
        <v>291</v>
      </c>
      <c r="E14" s="72" t="s">
        <v>466</v>
      </c>
      <c r="F14" s="8"/>
      <c r="G14" s="120" t="s">
        <v>493</v>
      </c>
      <c r="H14" s="146"/>
      <c r="I14" s="8"/>
      <c r="AJ14" s="3"/>
      <c r="AK14" s="2"/>
      <c r="AV14" s="3"/>
      <c r="AW14" s="2"/>
      <c r="AX14" s="2"/>
    </row>
    <row r="15" spans="1:50" ht="46.8" hidden="1" x14ac:dyDescent="0.3">
      <c r="A15" s="33" t="s">
        <v>384</v>
      </c>
      <c r="B15" s="65" t="s">
        <v>292</v>
      </c>
      <c r="C15" s="11" t="s">
        <v>532</v>
      </c>
      <c r="D15" s="11" t="s">
        <v>293</v>
      </c>
      <c r="E15" s="72" t="s">
        <v>466</v>
      </c>
      <c r="F15" s="8"/>
      <c r="G15" s="120" t="s">
        <v>493</v>
      </c>
      <c r="H15" s="146"/>
      <c r="I15" s="8"/>
      <c r="AJ15" s="3"/>
      <c r="AK15" s="2"/>
      <c r="AV15" s="3"/>
      <c r="AW15" s="2"/>
      <c r="AX15" s="2"/>
    </row>
    <row r="16" spans="1:50" ht="62.4" hidden="1" x14ac:dyDescent="0.3">
      <c r="A16" s="33" t="s">
        <v>384</v>
      </c>
      <c r="B16" s="65" t="s">
        <v>209</v>
      </c>
      <c r="C16" s="138" t="s">
        <v>533</v>
      </c>
      <c r="D16" s="11" t="s">
        <v>294</v>
      </c>
      <c r="E16" s="72" t="s">
        <v>564</v>
      </c>
      <c r="F16" s="8"/>
      <c r="G16" s="120" t="s">
        <v>493</v>
      </c>
      <c r="H16" s="146"/>
      <c r="I16" s="8"/>
      <c r="AJ16" s="3"/>
      <c r="AK16" s="2"/>
      <c r="AV16" s="3"/>
      <c r="AW16" s="2"/>
      <c r="AX16" s="2"/>
    </row>
    <row r="17" spans="1:37" ht="109.2" hidden="1" x14ac:dyDescent="0.3">
      <c r="A17" s="33" t="s">
        <v>384</v>
      </c>
      <c r="B17" s="65" t="s">
        <v>295</v>
      </c>
      <c r="C17" s="138" t="s">
        <v>534</v>
      </c>
      <c r="D17" s="11" t="s">
        <v>296</v>
      </c>
      <c r="E17" s="72" t="s">
        <v>564</v>
      </c>
      <c r="F17" s="8"/>
      <c r="G17" s="120" t="s">
        <v>493</v>
      </c>
      <c r="H17" s="146"/>
      <c r="I17" s="8"/>
      <c r="M17" s="3"/>
      <c r="N17" s="2"/>
      <c r="O17" s="2"/>
      <c r="AJ17" s="3"/>
      <c r="AK17" s="2"/>
    </row>
    <row r="18" spans="1:37" ht="46.8" hidden="1" x14ac:dyDescent="0.3">
      <c r="A18" s="33" t="s">
        <v>384</v>
      </c>
      <c r="B18" s="65" t="s">
        <v>297</v>
      </c>
      <c r="C18" s="138" t="s">
        <v>535</v>
      </c>
      <c r="D18" s="11" t="s">
        <v>298</v>
      </c>
      <c r="E18" s="72" t="s">
        <v>564</v>
      </c>
      <c r="F18" s="8"/>
      <c r="G18" s="120" t="s">
        <v>493</v>
      </c>
      <c r="H18" s="146"/>
      <c r="I18" s="8"/>
      <c r="M18" s="3"/>
      <c r="N18" s="2"/>
      <c r="O18" s="2"/>
      <c r="AJ18" s="3"/>
      <c r="AK18" s="2"/>
    </row>
    <row r="19" spans="1:37" ht="171.6" hidden="1" x14ac:dyDescent="0.3">
      <c r="A19" s="33" t="s">
        <v>384</v>
      </c>
      <c r="B19" s="65" t="s">
        <v>299</v>
      </c>
      <c r="C19" s="11" t="s">
        <v>536</v>
      </c>
      <c r="D19" s="11" t="s">
        <v>300</v>
      </c>
      <c r="E19" s="72" t="s">
        <v>466</v>
      </c>
      <c r="F19" s="8"/>
      <c r="G19" s="120" t="s">
        <v>493</v>
      </c>
      <c r="H19" s="146"/>
      <c r="I19" s="8"/>
      <c r="M19" s="3"/>
      <c r="N19" s="2"/>
      <c r="O19" s="2"/>
      <c r="AJ19" s="3"/>
      <c r="AK19" s="2"/>
    </row>
    <row r="20" spans="1:37" ht="93.6" hidden="1" x14ac:dyDescent="0.3">
      <c r="A20" s="33" t="s">
        <v>384</v>
      </c>
      <c r="B20" s="65" t="s">
        <v>301</v>
      </c>
      <c r="C20" s="11" t="s">
        <v>537</v>
      </c>
      <c r="D20" s="11" t="s">
        <v>302</v>
      </c>
      <c r="E20" s="72" t="s">
        <v>466</v>
      </c>
      <c r="F20" s="8"/>
      <c r="G20" s="120" t="s">
        <v>493</v>
      </c>
      <c r="H20" s="146"/>
      <c r="I20" s="8"/>
      <c r="M20" s="3"/>
      <c r="N20" s="2"/>
      <c r="O20" s="2"/>
      <c r="AJ20" s="3"/>
      <c r="AK20" s="2"/>
    </row>
    <row r="21" spans="1:37" ht="140.4" hidden="1" x14ac:dyDescent="0.3">
      <c r="A21" s="33" t="s">
        <v>384</v>
      </c>
      <c r="B21" s="65" t="s">
        <v>303</v>
      </c>
      <c r="C21" s="11" t="s">
        <v>538</v>
      </c>
      <c r="D21" s="11" t="s">
        <v>304</v>
      </c>
      <c r="E21" s="72" t="s">
        <v>466</v>
      </c>
      <c r="F21" s="8"/>
      <c r="G21" s="120" t="s">
        <v>493</v>
      </c>
      <c r="H21" s="146"/>
      <c r="I21" s="8"/>
      <c r="M21" s="3"/>
      <c r="N21" s="2"/>
      <c r="O21" s="2"/>
    </row>
    <row r="22" spans="1:37" ht="78" hidden="1" x14ac:dyDescent="0.3">
      <c r="A22" s="33" t="s">
        <v>384</v>
      </c>
      <c r="B22" s="65" t="s">
        <v>305</v>
      </c>
      <c r="C22" s="11" t="s">
        <v>539</v>
      </c>
      <c r="D22" s="11" t="s">
        <v>306</v>
      </c>
      <c r="E22" s="72" t="s">
        <v>466</v>
      </c>
      <c r="F22" s="8"/>
      <c r="G22" s="120" t="s">
        <v>493</v>
      </c>
      <c r="H22" s="146"/>
      <c r="I22" s="8"/>
      <c r="M22" s="3"/>
      <c r="N22" s="2"/>
      <c r="O22" s="2"/>
    </row>
    <row r="23" spans="1:37" ht="156" hidden="1" x14ac:dyDescent="0.3">
      <c r="A23" s="33" t="s">
        <v>384</v>
      </c>
      <c r="B23" s="65" t="s">
        <v>307</v>
      </c>
      <c r="C23" s="11" t="s">
        <v>540</v>
      </c>
      <c r="D23" s="11" t="s">
        <v>565</v>
      </c>
      <c r="E23" s="72" t="s">
        <v>466</v>
      </c>
      <c r="F23" s="8"/>
      <c r="G23" s="120" t="s">
        <v>493</v>
      </c>
      <c r="H23" s="146"/>
      <c r="I23" s="8"/>
      <c r="M23" s="3"/>
      <c r="N23" s="2"/>
      <c r="O23" s="2"/>
    </row>
    <row r="24" spans="1:37" ht="93.6" hidden="1" x14ac:dyDescent="0.3">
      <c r="A24" s="33" t="s">
        <v>384</v>
      </c>
      <c r="B24" s="65" t="s">
        <v>308</v>
      </c>
      <c r="C24" s="11" t="s">
        <v>541</v>
      </c>
      <c r="D24" s="11" t="s">
        <v>309</v>
      </c>
      <c r="E24" s="72" t="s">
        <v>466</v>
      </c>
      <c r="F24" s="8"/>
      <c r="G24" s="120" t="s">
        <v>493</v>
      </c>
      <c r="H24" s="146"/>
      <c r="I24" s="8"/>
      <c r="M24" s="3"/>
      <c r="N24" s="2"/>
      <c r="O24" s="2"/>
    </row>
    <row r="25" spans="1:37" ht="109.2" hidden="1" x14ac:dyDescent="0.3">
      <c r="A25" s="33" t="s">
        <v>384</v>
      </c>
      <c r="B25" s="65" t="s">
        <v>310</v>
      </c>
      <c r="C25" s="11" t="s">
        <v>542</v>
      </c>
      <c r="D25" s="11" t="s">
        <v>311</v>
      </c>
      <c r="E25" s="72" t="s">
        <v>466</v>
      </c>
      <c r="F25" s="8"/>
      <c r="G25" s="120" t="s">
        <v>493</v>
      </c>
      <c r="H25" s="146"/>
      <c r="I25" s="8"/>
      <c r="M25" s="3"/>
      <c r="N25" s="2"/>
      <c r="O25" s="2"/>
    </row>
    <row r="26" spans="1:37" ht="124.8" hidden="1" x14ac:dyDescent="0.3">
      <c r="A26" s="33" t="s">
        <v>384</v>
      </c>
      <c r="B26" s="65" t="s">
        <v>312</v>
      </c>
      <c r="C26" s="11" t="s">
        <v>543</v>
      </c>
      <c r="D26" s="11" t="s">
        <v>313</v>
      </c>
      <c r="E26" s="72" t="s">
        <v>564</v>
      </c>
      <c r="F26" s="8"/>
      <c r="G26" s="120" t="s">
        <v>493</v>
      </c>
      <c r="H26" s="146"/>
      <c r="I26" s="8"/>
      <c r="M26" s="3"/>
      <c r="N26" s="2"/>
      <c r="O26" s="2"/>
      <c r="AJ26" s="1"/>
      <c r="AK26" s="1"/>
    </row>
    <row r="27" spans="1:37" ht="78" hidden="1" x14ac:dyDescent="0.3">
      <c r="A27" s="33" t="s">
        <v>384</v>
      </c>
      <c r="B27" s="65" t="s">
        <v>314</v>
      </c>
      <c r="C27" s="11" t="s">
        <v>544</v>
      </c>
      <c r="D27" s="18" t="s">
        <v>385</v>
      </c>
      <c r="E27" s="72" t="s">
        <v>466</v>
      </c>
      <c r="F27" s="8"/>
      <c r="G27" s="120" t="s">
        <v>493</v>
      </c>
      <c r="H27" s="146"/>
      <c r="I27" s="8"/>
      <c r="AJ27" s="3"/>
      <c r="AK27" s="2"/>
    </row>
    <row r="28" spans="1:37" ht="124.8" hidden="1" x14ac:dyDescent="0.3">
      <c r="A28" s="33" t="s">
        <v>384</v>
      </c>
      <c r="B28" s="65" t="s">
        <v>315</v>
      </c>
      <c r="C28" s="25" t="s">
        <v>545</v>
      </c>
      <c r="D28" s="18" t="s">
        <v>386</v>
      </c>
      <c r="E28" s="72" t="s">
        <v>466</v>
      </c>
      <c r="F28" s="8"/>
      <c r="G28" s="120" t="s">
        <v>493</v>
      </c>
      <c r="H28" s="146"/>
      <c r="I28" s="8"/>
      <c r="AJ28" s="3"/>
      <c r="AK28" s="2"/>
    </row>
    <row r="29" spans="1:37" ht="46.8" hidden="1" x14ac:dyDescent="0.3">
      <c r="A29" s="33" t="s">
        <v>384</v>
      </c>
      <c r="B29" s="65" t="s">
        <v>316</v>
      </c>
      <c r="C29" s="11" t="s">
        <v>546</v>
      </c>
      <c r="D29" s="18" t="s">
        <v>387</v>
      </c>
      <c r="E29" s="72" t="s">
        <v>466</v>
      </c>
      <c r="F29" s="8"/>
      <c r="G29" s="120" t="s">
        <v>493</v>
      </c>
      <c r="H29" s="146"/>
      <c r="I29" s="8"/>
      <c r="AJ29" s="3"/>
      <c r="AK29" s="2"/>
    </row>
    <row r="30" spans="1:37" ht="46.8" hidden="1" x14ac:dyDescent="0.3">
      <c r="A30" s="33" t="s">
        <v>384</v>
      </c>
      <c r="B30" s="65" t="s">
        <v>317</v>
      </c>
      <c r="C30" s="11" t="s">
        <v>547</v>
      </c>
      <c r="D30" s="18" t="s">
        <v>388</v>
      </c>
      <c r="E30" s="72" t="s">
        <v>466</v>
      </c>
      <c r="F30" s="8"/>
      <c r="G30" s="120" t="s">
        <v>493</v>
      </c>
      <c r="H30" s="146"/>
      <c r="I30" s="8"/>
      <c r="AJ30" s="3"/>
      <c r="AK30" s="2"/>
    </row>
    <row r="31" spans="1:37" ht="93.6" hidden="1" x14ac:dyDescent="0.3">
      <c r="A31" s="33" t="s">
        <v>384</v>
      </c>
      <c r="B31" s="65" t="s">
        <v>318</v>
      </c>
      <c r="C31" s="11" t="s">
        <v>548</v>
      </c>
      <c r="D31" s="18" t="s">
        <v>389</v>
      </c>
      <c r="E31" s="72" t="s">
        <v>466</v>
      </c>
      <c r="F31" s="8"/>
      <c r="G31" s="120" t="s">
        <v>493</v>
      </c>
      <c r="H31" s="146"/>
      <c r="I31" s="8"/>
      <c r="AJ31" s="3"/>
      <c r="AK31" s="2"/>
    </row>
    <row r="32" spans="1:37" ht="46.8" hidden="1" x14ac:dyDescent="0.3">
      <c r="A32" s="33" t="s">
        <v>384</v>
      </c>
      <c r="B32" s="65" t="s">
        <v>319</v>
      </c>
      <c r="C32" s="11" t="s">
        <v>549</v>
      </c>
      <c r="D32" s="18" t="s">
        <v>390</v>
      </c>
      <c r="E32" s="72" t="s">
        <v>466</v>
      </c>
      <c r="F32" s="8"/>
      <c r="G32" s="120" t="s">
        <v>493</v>
      </c>
      <c r="H32" s="146"/>
      <c r="I32" s="8"/>
      <c r="AJ32" s="3"/>
      <c r="AK32" s="2"/>
    </row>
    <row r="33" spans="1:37" ht="390" hidden="1" x14ac:dyDescent="0.3">
      <c r="A33" s="33" t="s">
        <v>384</v>
      </c>
      <c r="B33" s="65" t="s">
        <v>320</v>
      </c>
      <c r="C33" s="138" t="s">
        <v>550</v>
      </c>
      <c r="D33" s="18" t="s">
        <v>391</v>
      </c>
      <c r="E33" s="72" t="s">
        <v>564</v>
      </c>
      <c r="F33" s="8"/>
      <c r="G33" s="120" t="s">
        <v>493</v>
      </c>
      <c r="H33" s="146"/>
      <c r="I33" s="8"/>
      <c r="AJ33" s="3"/>
      <c r="AK33" s="2"/>
    </row>
    <row r="34" spans="1:37" ht="109.2" hidden="1" x14ac:dyDescent="0.3">
      <c r="A34" s="33" t="s">
        <v>384</v>
      </c>
      <c r="B34" s="65" t="s">
        <v>321</v>
      </c>
      <c r="C34" s="11" t="s">
        <v>551</v>
      </c>
      <c r="D34" s="22" t="s">
        <v>392</v>
      </c>
      <c r="E34" s="72" t="s">
        <v>466</v>
      </c>
      <c r="F34" s="8"/>
      <c r="G34" s="120" t="s">
        <v>493</v>
      </c>
      <c r="H34" s="146"/>
      <c r="I34" s="8"/>
      <c r="AJ34" s="3"/>
      <c r="AK34" s="2"/>
    </row>
    <row r="35" spans="1:37" ht="124.8" hidden="1" x14ac:dyDescent="0.3">
      <c r="A35" s="33" t="s">
        <v>384</v>
      </c>
      <c r="B35" s="65" t="s">
        <v>322</v>
      </c>
      <c r="C35" s="138" t="s">
        <v>552</v>
      </c>
      <c r="D35" s="18" t="s">
        <v>393</v>
      </c>
      <c r="E35" s="72" t="s">
        <v>466</v>
      </c>
      <c r="F35" s="8"/>
      <c r="G35" s="120" t="s">
        <v>493</v>
      </c>
      <c r="H35" s="146"/>
      <c r="I35" s="8"/>
      <c r="AJ35" s="3"/>
      <c r="AK35" s="3"/>
    </row>
    <row r="36" spans="1:37" ht="124.8" hidden="1" x14ac:dyDescent="0.3">
      <c r="A36" s="33" t="s">
        <v>384</v>
      </c>
      <c r="B36" s="65" t="s">
        <v>323</v>
      </c>
      <c r="C36" s="11" t="s">
        <v>553</v>
      </c>
      <c r="D36" s="18" t="s">
        <v>394</v>
      </c>
      <c r="E36" s="72" t="s">
        <v>466</v>
      </c>
      <c r="F36" s="8"/>
      <c r="G36" s="120" t="s">
        <v>493</v>
      </c>
      <c r="H36" s="146"/>
      <c r="I36" s="8"/>
      <c r="AJ36" s="3"/>
      <c r="AK36" s="2"/>
    </row>
    <row r="37" spans="1:37" ht="140.4" hidden="1" x14ac:dyDescent="0.3">
      <c r="A37" s="33" t="s">
        <v>384</v>
      </c>
      <c r="B37" s="65" t="s">
        <v>324</v>
      </c>
      <c r="C37" s="11" t="s">
        <v>554</v>
      </c>
      <c r="D37" s="18" t="s">
        <v>395</v>
      </c>
      <c r="E37" s="72" t="s">
        <v>466</v>
      </c>
      <c r="F37" s="8"/>
      <c r="G37" s="120" t="s">
        <v>493</v>
      </c>
      <c r="H37" s="146"/>
      <c r="I37" s="8"/>
      <c r="AJ37" s="3"/>
      <c r="AK37" s="2"/>
    </row>
    <row r="38" spans="1:37" ht="62.4" hidden="1" x14ac:dyDescent="0.3">
      <c r="A38" s="33" t="s">
        <v>384</v>
      </c>
      <c r="B38" s="65" t="s">
        <v>325</v>
      </c>
      <c r="C38" s="11" t="s">
        <v>555</v>
      </c>
      <c r="D38" s="18" t="s">
        <v>396</v>
      </c>
      <c r="E38" s="72" t="s">
        <v>466</v>
      </c>
      <c r="F38" s="8"/>
      <c r="G38" s="120" t="s">
        <v>493</v>
      </c>
      <c r="H38" s="146"/>
      <c r="I38" s="8"/>
      <c r="AJ38" s="3"/>
      <c r="AK38" s="2"/>
    </row>
    <row r="39" spans="1:37" ht="409.6" hidden="1" x14ac:dyDescent="0.3">
      <c r="A39" s="33" t="s">
        <v>384</v>
      </c>
      <c r="B39" s="65" t="s">
        <v>144</v>
      </c>
      <c r="C39" s="101" t="s">
        <v>556</v>
      </c>
      <c r="D39" s="11" t="s">
        <v>329</v>
      </c>
      <c r="E39" s="72" t="s">
        <v>466</v>
      </c>
      <c r="F39" s="8"/>
      <c r="G39" s="120" t="s">
        <v>493</v>
      </c>
      <c r="H39" s="146"/>
      <c r="I39" s="8"/>
      <c r="AJ39" s="3"/>
      <c r="AK39" s="2"/>
    </row>
    <row r="40" spans="1:37" ht="93.6" hidden="1" x14ac:dyDescent="0.3">
      <c r="A40" s="33" t="s">
        <v>384</v>
      </c>
      <c r="B40" s="65" t="s">
        <v>222</v>
      </c>
      <c r="C40" s="11" t="s">
        <v>557</v>
      </c>
      <c r="D40" s="23" t="s">
        <v>330</v>
      </c>
      <c r="E40" s="72" t="s">
        <v>466</v>
      </c>
      <c r="F40" s="8"/>
      <c r="G40" s="120" t="s">
        <v>493</v>
      </c>
      <c r="H40" s="146"/>
      <c r="I40" s="8"/>
      <c r="AJ40" s="3"/>
      <c r="AK40" s="2"/>
    </row>
    <row r="41" spans="1:37" ht="409.2" hidden="1" customHeight="1" x14ac:dyDescent="0.3">
      <c r="A41" s="33" t="s">
        <v>384</v>
      </c>
      <c r="B41" s="65" t="s">
        <v>326</v>
      </c>
      <c r="C41" s="11" t="s">
        <v>558</v>
      </c>
      <c r="D41" s="11" t="s">
        <v>331</v>
      </c>
      <c r="E41" s="72" t="s">
        <v>466</v>
      </c>
      <c r="F41" s="8"/>
      <c r="G41" s="120" t="s">
        <v>493</v>
      </c>
      <c r="H41" s="146"/>
      <c r="I41" s="8"/>
      <c r="AJ41" s="3"/>
      <c r="AK41" s="3"/>
    </row>
    <row r="42" spans="1:37" ht="409.6" hidden="1" x14ac:dyDescent="0.3">
      <c r="A42" s="33" t="s">
        <v>384</v>
      </c>
      <c r="B42" s="65" t="s">
        <v>327</v>
      </c>
      <c r="C42" s="11" t="s">
        <v>559</v>
      </c>
      <c r="D42" s="18" t="s">
        <v>397</v>
      </c>
      <c r="E42" s="72" t="s">
        <v>466</v>
      </c>
      <c r="F42" s="8"/>
      <c r="G42" s="120" t="s">
        <v>493</v>
      </c>
      <c r="H42" s="146"/>
      <c r="I42" s="8"/>
      <c r="AJ42" s="3"/>
      <c r="AK42" s="2"/>
    </row>
    <row r="43" spans="1:37" ht="171.6" hidden="1" x14ac:dyDescent="0.3">
      <c r="A43" s="33" t="s">
        <v>384</v>
      </c>
      <c r="B43" s="65" t="s">
        <v>328</v>
      </c>
      <c r="C43" s="11" t="s">
        <v>560</v>
      </c>
      <c r="D43" s="18" t="s">
        <v>398</v>
      </c>
      <c r="E43" s="72" t="s">
        <v>466</v>
      </c>
      <c r="F43" s="8"/>
      <c r="G43" s="120" t="s">
        <v>493</v>
      </c>
      <c r="H43" s="146"/>
      <c r="I43" s="8"/>
      <c r="AJ43" s="3"/>
      <c r="AK43" s="2"/>
    </row>
    <row r="44" spans="1:37" ht="187.2" hidden="1" x14ac:dyDescent="0.3">
      <c r="A44" s="33" t="s">
        <v>384</v>
      </c>
      <c r="B44" s="66" t="s">
        <v>368</v>
      </c>
      <c r="C44" s="11" t="s">
        <v>561</v>
      </c>
      <c r="D44" s="18" t="s">
        <v>399</v>
      </c>
      <c r="E44" s="72" t="s">
        <v>466</v>
      </c>
      <c r="F44" s="8"/>
      <c r="G44" s="120" t="s">
        <v>493</v>
      </c>
      <c r="H44" s="146"/>
      <c r="I44" s="8"/>
      <c r="Q44" s="1"/>
      <c r="R44" s="1"/>
      <c r="S44" s="1"/>
      <c r="AJ44" s="3"/>
      <c r="AK44" s="2"/>
    </row>
    <row r="45" spans="1:37" ht="280.8" hidden="1" x14ac:dyDescent="0.3">
      <c r="A45" s="33" t="s">
        <v>384</v>
      </c>
      <c r="B45" s="66" t="s">
        <v>369</v>
      </c>
      <c r="C45" s="11" t="s">
        <v>562</v>
      </c>
      <c r="D45" s="18" t="s">
        <v>400</v>
      </c>
      <c r="E45" s="72" t="s">
        <v>466</v>
      </c>
      <c r="F45" s="8"/>
      <c r="G45" s="120" t="s">
        <v>493</v>
      </c>
      <c r="H45" s="146"/>
      <c r="I45" s="8"/>
      <c r="Q45" s="3"/>
      <c r="R45" s="2"/>
      <c r="S45" s="2"/>
      <c r="AJ45" s="3"/>
      <c r="AK45" s="2"/>
    </row>
    <row r="46" spans="1:37" ht="62.4" hidden="1" x14ac:dyDescent="0.3">
      <c r="A46" s="33" t="s">
        <v>384</v>
      </c>
      <c r="B46" s="66" t="s">
        <v>370</v>
      </c>
      <c r="C46" s="105" t="s">
        <v>563</v>
      </c>
      <c r="D46" s="22"/>
      <c r="E46" s="72"/>
      <c r="F46" s="8"/>
      <c r="G46" s="120"/>
      <c r="H46" s="146"/>
      <c r="I46" s="8"/>
      <c r="Q46" s="3"/>
      <c r="R46" s="2"/>
      <c r="S46" s="2"/>
      <c r="AJ46" s="3"/>
      <c r="AK46" s="2"/>
    </row>
    <row r="47" spans="1:37" ht="30.6" x14ac:dyDescent="0.3">
      <c r="A47" s="33" t="s">
        <v>274</v>
      </c>
      <c r="B47" s="36" t="s">
        <v>274</v>
      </c>
      <c r="C47" s="37"/>
      <c r="D47" s="38"/>
      <c r="E47" s="38"/>
      <c r="F47" s="39"/>
      <c r="G47" s="125">
        <f>(COUNTIF(G48:G67, "Oui")/COUNTA(G48:G67))*100</f>
        <v>0</v>
      </c>
      <c r="H47" s="120"/>
      <c r="I47" s="39"/>
      <c r="Q47" s="3"/>
      <c r="R47" s="2"/>
      <c r="S47" s="2"/>
      <c r="AJ47" s="3"/>
      <c r="AK47" s="2"/>
    </row>
    <row r="48" spans="1:37" ht="78" hidden="1" x14ac:dyDescent="0.3">
      <c r="A48" s="33" t="s">
        <v>274</v>
      </c>
      <c r="B48" s="65" t="s">
        <v>332</v>
      </c>
      <c r="C48" s="138" t="s">
        <v>566</v>
      </c>
      <c r="D48" s="11" t="s">
        <v>333</v>
      </c>
      <c r="E48" s="72" t="s">
        <v>564</v>
      </c>
      <c r="F48" s="8"/>
      <c r="G48" s="120" t="s">
        <v>493</v>
      </c>
      <c r="H48" s="146"/>
      <c r="I48" s="8"/>
      <c r="Q48" s="3"/>
      <c r="R48" s="2"/>
      <c r="S48" s="2"/>
      <c r="AJ48" s="3"/>
      <c r="AK48" s="3"/>
    </row>
    <row r="49" spans="1:36" ht="409.6" hidden="1" x14ac:dyDescent="0.3">
      <c r="A49" s="33" t="s">
        <v>274</v>
      </c>
      <c r="B49" s="65" t="s">
        <v>334</v>
      </c>
      <c r="C49" s="11" t="s">
        <v>567</v>
      </c>
      <c r="D49" s="11" t="s">
        <v>401</v>
      </c>
      <c r="E49" s="72" t="s">
        <v>466</v>
      </c>
      <c r="F49" s="8"/>
      <c r="G49" s="120" t="s">
        <v>493</v>
      </c>
      <c r="H49" s="146"/>
      <c r="I49" s="8"/>
      <c r="Q49" s="3"/>
      <c r="R49" s="2"/>
      <c r="S49" s="2"/>
    </row>
    <row r="50" spans="1:36" ht="31.2" hidden="1" x14ac:dyDescent="0.3">
      <c r="A50" s="33" t="s">
        <v>274</v>
      </c>
      <c r="B50" s="65" t="s">
        <v>200</v>
      </c>
      <c r="C50" s="11" t="s">
        <v>568</v>
      </c>
      <c r="D50" s="11" t="s">
        <v>335</v>
      </c>
      <c r="E50" s="72" t="s">
        <v>466</v>
      </c>
      <c r="F50" s="8"/>
      <c r="G50" s="120" t="s">
        <v>493</v>
      </c>
      <c r="H50" s="146"/>
      <c r="I50" s="8"/>
      <c r="Q50" s="3"/>
      <c r="R50" s="2"/>
      <c r="S50" s="2"/>
    </row>
    <row r="51" spans="1:36" ht="93.6" hidden="1" x14ac:dyDescent="0.3">
      <c r="A51" s="33" t="s">
        <v>274</v>
      </c>
      <c r="B51" s="65" t="s">
        <v>203</v>
      </c>
      <c r="C51" s="11" t="s">
        <v>569</v>
      </c>
      <c r="D51" s="11" t="s">
        <v>336</v>
      </c>
      <c r="E51" s="72" t="s">
        <v>466</v>
      </c>
      <c r="F51" s="8"/>
      <c r="G51" s="120" t="s">
        <v>493</v>
      </c>
      <c r="H51" s="146"/>
      <c r="I51" s="8"/>
      <c r="Q51" s="3"/>
      <c r="R51" s="2"/>
      <c r="S51" s="2"/>
    </row>
    <row r="52" spans="1:36" ht="62.4" hidden="1" x14ac:dyDescent="0.3">
      <c r="A52" s="33" t="s">
        <v>274</v>
      </c>
      <c r="B52" s="65" t="s">
        <v>206</v>
      </c>
      <c r="C52" s="11" t="s">
        <v>570</v>
      </c>
      <c r="D52" s="11" t="s">
        <v>402</v>
      </c>
      <c r="E52" s="72" t="s">
        <v>466</v>
      </c>
      <c r="F52" s="8"/>
      <c r="G52" s="120" t="s">
        <v>493</v>
      </c>
      <c r="H52" s="146"/>
      <c r="I52" s="8"/>
      <c r="Q52" s="3"/>
      <c r="R52" s="2"/>
      <c r="S52" s="2"/>
    </row>
    <row r="53" spans="1:36" ht="109.2" hidden="1" x14ac:dyDescent="0.3">
      <c r="A53" s="33" t="s">
        <v>274</v>
      </c>
      <c r="B53" s="65" t="s">
        <v>220</v>
      </c>
      <c r="C53" s="11" t="s">
        <v>571</v>
      </c>
      <c r="D53" s="11" t="s">
        <v>337</v>
      </c>
      <c r="E53" s="72" t="s">
        <v>466</v>
      </c>
      <c r="F53" s="8"/>
      <c r="G53" s="120" t="s">
        <v>493</v>
      </c>
      <c r="H53" s="146"/>
      <c r="I53" s="8"/>
      <c r="Q53" s="3"/>
      <c r="R53" s="2"/>
      <c r="S53" s="2"/>
    </row>
    <row r="54" spans="1:36" ht="124.8" hidden="1" x14ac:dyDescent="0.3">
      <c r="A54" s="33" t="s">
        <v>274</v>
      </c>
      <c r="B54" s="65" t="s">
        <v>338</v>
      </c>
      <c r="C54" s="11" t="s">
        <v>572</v>
      </c>
      <c r="D54" s="11" t="s">
        <v>339</v>
      </c>
      <c r="E54" s="72" t="s">
        <v>466</v>
      </c>
      <c r="F54" s="8"/>
      <c r="G54" s="120" t="s">
        <v>493</v>
      </c>
      <c r="H54" s="146"/>
      <c r="I54" s="8"/>
      <c r="O54" s="1"/>
      <c r="P54" s="1"/>
      <c r="Q54" s="3"/>
      <c r="R54" s="2"/>
      <c r="S54" s="2"/>
    </row>
    <row r="55" spans="1:36" ht="62.4" hidden="1" x14ac:dyDescent="0.3">
      <c r="A55" s="33" t="s">
        <v>274</v>
      </c>
      <c r="B55" s="65" t="s">
        <v>340</v>
      </c>
      <c r="C55" s="11" t="s">
        <v>573</v>
      </c>
      <c r="D55" s="11" t="s">
        <v>341</v>
      </c>
      <c r="E55" s="72" t="s">
        <v>466</v>
      </c>
      <c r="F55" s="8"/>
      <c r="G55" s="120" t="s">
        <v>493</v>
      </c>
      <c r="H55" s="146"/>
      <c r="I55" s="8"/>
      <c r="P55" s="2"/>
      <c r="Q55" s="3"/>
      <c r="R55" s="2"/>
      <c r="S55" s="2"/>
    </row>
    <row r="56" spans="1:36" ht="93.6" hidden="1" x14ac:dyDescent="0.3">
      <c r="A56" s="33" t="s">
        <v>274</v>
      </c>
      <c r="B56" s="65" t="s">
        <v>287</v>
      </c>
      <c r="C56" s="11" t="s">
        <v>574</v>
      </c>
      <c r="D56" s="11" t="s">
        <v>342</v>
      </c>
      <c r="E56" s="72" t="s">
        <v>466</v>
      </c>
      <c r="F56" s="8"/>
      <c r="G56" s="120" t="s">
        <v>493</v>
      </c>
      <c r="H56" s="146"/>
      <c r="I56" s="8"/>
      <c r="P56" s="2"/>
      <c r="Q56" s="3"/>
      <c r="R56" s="2"/>
      <c r="S56" s="2"/>
    </row>
    <row r="57" spans="1:36" ht="46.8" hidden="1" x14ac:dyDescent="0.3">
      <c r="A57" s="33" t="s">
        <v>274</v>
      </c>
      <c r="B57" s="65" t="s">
        <v>289</v>
      </c>
      <c r="C57" s="11" t="s">
        <v>575</v>
      </c>
      <c r="D57" s="11" t="s">
        <v>343</v>
      </c>
      <c r="E57" s="72" t="s">
        <v>466</v>
      </c>
      <c r="F57" s="8"/>
      <c r="G57" s="120" t="s">
        <v>493</v>
      </c>
      <c r="H57" s="146"/>
      <c r="I57" s="8"/>
      <c r="P57" s="2"/>
      <c r="Q57" s="3"/>
      <c r="R57" s="2"/>
      <c r="S57" s="2"/>
      <c r="AH57" s="1"/>
      <c r="AI57" s="1"/>
      <c r="AJ57" s="1"/>
    </row>
    <row r="58" spans="1:36" ht="202.8" hidden="1" x14ac:dyDescent="0.3">
      <c r="A58" s="33" t="s">
        <v>274</v>
      </c>
      <c r="B58" s="65" t="s">
        <v>212</v>
      </c>
      <c r="C58" s="11" t="s">
        <v>576</v>
      </c>
      <c r="D58" s="11" t="s">
        <v>344</v>
      </c>
      <c r="E58" s="72" t="s">
        <v>466</v>
      </c>
      <c r="F58" s="8"/>
      <c r="G58" s="120" t="s">
        <v>493</v>
      </c>
      <c r="H58" s="146"/>
      <c r="I58" s="8"/>
      <c r="P58" s="2"/>
      <c r="Q58" s="3"/>
      <c r="R58" s="2"/>
      <c r="S58" s="2"/>
      <c r="AH58" s="3"/>
      <c r="AI58" s="2"/>
      <c r="AJ58" s="2"/>
    </row>
    <row r="59" spans="1:36" ht="46.8" hidden="1" x14ac:dyDescent="0.3">
      <c r="A59" s="33" t="s">
        <v>274</v>
      </c>
      <c r="B59" s="65" t="s">
        <v>208</v>
      </c>
      <c r="C59" s="11" t="s">
        <v>577</v>
      </c>
      <c r="D59" s="11" t="s">
        <v>345</v>
      </c>
      <c r="E59" s="72" t="s">
        <v>466</v>
      </c>
      <c r="F59" s="8"/>
      <c r="G59" s="120" t="s">
        <v>493</v>
      </c>
      <c r="H59" s="146"/>
      <c r="I59" s="8"/>
      <c r="P59" s="2"/>
      <c r="Q59" s="3"/>
      <c r="R59" s="2"/>
      <c r="S59" s="2"/>
      <c r="AH59" s="3"/>
      <c r="AI59" s="2"/>
      <c r="AJ59" s="2"/>
    </row>
    <row r="60" spans="1:36" ht="109.2" hidden="1" x14ac:dyDescent="0.3">
      <c r="A60" s="33" t="s">
        <v>274</v>
      </c>
      <c r="B60" s="65" t="s">
        <v>142</v>
      </c>
      <c r="C60" s="11" t="s">
        <v>578</v>
      </c>
      <c r="D60" s="11" t="s">
        <v>403</v>
      </c>
      <c r="E60" s="72" t="s">
        <v>466</v>
      </c>
      <c r="F60" s="8"/>
      <c r="G60" s="120" t="s">
        <v>493</v>
      </c>
      <c r="H60" s="146"/>
      <c r="I60" s="8"/>
      <c r="P60" s="2"/>
      <c r="Q60" s="3"/>
      <c r="R60" s="2"/>
      <c r="S60" s="2"/>
      <c r="AH60" s="3"/>
      <c r="AI60" s="2"/>
      <c r="AJ60" s="2"/>
    </row>
    <row r="61" spans="1:36" ht="187.2" hidden="1" x14ac:dyDescent="0.3">
      <c r="A61" s="33" t="s">
        <v>274</v>
      </c>
      <c r="B61" s="65" t="s">
        <v>346</v>
      </c>
      <c r="C61" s="11" t="s">
        <v>579</v>
      </c>
      <c r="D61" s="11" t="s">
        <v>347</v>
      </c>
      <c r="E61" s="72" t="s">
        <v>466</v>
      </c>
      <c r="F61" s="8"/>
      <c r="G61" s="120" t="s">
        <v>493</v>
      </c>
      <c r="H61" s="146"/>
      <c r="I61" s="8"/>
      <c r="P61" s="2"/>
      <c r="Q61" s="3"/>
      <c r="R61" s="2"/>
      <c r="S61" s="2"/>
      <c r="AH61" s="3"/>
      <c r="AI61" s="2"/>
      <c r="AJ61" s="2"/>
    </row>
    <row r="62" spans="1:36" ht="78" hidden="1" x14ac:dyDescent="0.3">
      <c r="A62" s="33" t="s">
        <v>274</v>
      </c>
      <c r="B62" s="65" t="s">
        <v>348</v>
      </c>
      <c r="C62" s="11" t="s">
        <v>580</v>
      </c>
      <c r="D62" s="11" t="s">
        <v>349</v>
      </c>
      <c r="E62" s="72" t="s">
        <v>466</v>
      </c>
      <c r="F62" s="8"/>
      <c r="G62" s="120" t="s">
        <v>493</v>
      </c>
      <c r="H62" s="146"/>
      <c r="I62" s="8"/>
      <c r="P62" s="2"/>
      <c r="Q62" s="3"/>
      <c r="R62" s="2"/>
      <c r="S62" s="2"/>
      <c r="AH62" s="3"/>
      <c r="AI62" s="2"/>
      <c r="AJ62" s="2"/>
    </row>
    <row r="63" spans="1:36" ht="62.4" hidden="1" x14ac:dyDescent="0.3">
      <c r="A63" s="33" t="s">
        <v>274</v>
      </c>
      <c r="B63" s="65" t="s">
        <v>143</v>
      </c>
      <c r="C63" s="11" t="s">
        <v>581</v>
      </c>
      <c r="D63" s="11" t="s">
        <v>350</v>
      </c>
      <c r="E63" s="72" t="s">
        <v>466</v>
      </c>
      <c r="F63" s="8"/>
      <c r="G63" s="120" t="s">
        <v>493</v>
      </c>
      <c r="H63" s="146"/>
      <c r="I63" s="8"/>
      <c r="P63" s="2"/>
      <c r="Q63" s="3"/>
      <c r="R63" s="2"/>
      <c r="S63" s="2"/>
      <c r="AH63" s="3"/>
      <c r="AI63" s="2"/>
      <c r="AJ63" s="2"/>
    </row>
    <row r="64" spans="1:36" ht="140.4" hidden="1" x14ac:dyDescent="0.3">
      <c r="A64" s="33" t="s">
        <v>274</v>
      </c>
      <c r="B64" s="65" t="s">
        <v>351</v>
      </c>
      <c r="C64" s="11" t="s">
        <v>582</v>
      </c>
      <c r="D64" s="11" t="s">
        <v>352</v>
      </c>
      <c r="E64" s="72" t="s">
        <v>466</v>
      </c>
      <c r="F64" s="8"/>
      <c r="G64" s="120" t="s">
        <v>493</v>
      </c>
      <c r="H64" s="146"/>
      <c r="I64" s="8"/>
      <c r="P64" s="2"/>
      <c r="Q64" s="3"/>
      <c r="R64" s="2"/>
      <c r="S64" s="2"/>
      <c r="AH64" s="3"/>
      <c r="AI64" s="2"/>
      <c r="AJ64" s="2"/>
    </row>
    <row r="65" spans="1:36" ht="62.4" hidden="1" x14ac:dyDescent="0.3">
      <c r="A65" s="33" t="s">
        <v>274</v>
      </c>
      <c r="B65" s="65" t="s">
        <v>353</v>
      </c>
      <c r="C65" s="11" t="s">
        <v>583</v>
      </c>
      <c r="D65" s="11" t="s">
        <v>354</v>
      </c>
      <c r="E65" s="72" t="s">
        <v>466</v>
      </c>
      <c r="F65" s="8"/>
      <c r="G65" s="120" t="s">
        <v>493</v>
      </c>
      <c r="H65" s="146"/>
      <c r="I65" s="8"/>
      <c r="P65" s="2"/>
      <c r="Q65" s="3"/>
      <c r="R65" s="2"/>
      <c r="S65" s="2"/>
      <c r="AH65" s="3"/>
      <c r="AI65" s="2"/>
      <c r="AJ65" s="2"/>
    </row>
    <row r="66" spans="1:36" ht="187.2" hidden="1" x14ac:dyDescent="0.3">
      <c r="A66" s="33" t="s">
        <v>274</v>
      </c>
      <c r="B66" s="65" t="s">
        <v>355</v>
      </c>
      <c r="C66" s="11" t="s">
        <v>584</v>
      </c>
      <c r="D66" s="11" t="s">
        <v>356</v>
      </c>
      <c r="E66" s="72" t="s">
        <v>466</v>
      </c>
      <c r="F66" s="8"/>
      <c r="G66" s="120" t="s">
        <v>493</v>
      </c>
      <c r="H66" s="146"/>
      <c r="I66" s="8"/>
      <c r="P66" s="2"/>
      <c r="AH66" s="3"/>
      <c r="AI66" s="2"/>
      <c r="AJ66" s="2"/>
    </row>
    <row r="67" spans="1:36" ht="46.8" hidden="1" x14ac:dyDescent="0.3">
      <c r="A67" s="33" t="s">
        <v>274</v>
      </c>
      <c r="B67" s="65" t="s">
        <v>364</v>
      </c>
      <c r="C67" s="11" t="s">
        <v>585</v>
      </c>
      <c r="D67" s="11" t="s">
        <v>357</v>
      </c>
      <c r="E67" s="72" t="s">
        <v>466</v>
      </c>
      <c r="F67" s="8"/>
      <c r="G67" s="120" t="s">
        <v>493</v>
      </c>
      <c r="H67" s="146"/>
      <c r="I67" s="8"/>
      <c r="P67" s="2"/>
      <c r="AH67" s="3"/>
      <c r="AI67" s="2"/>
      <c r="AJ67" s="2"/>
    </row>
    <row r="68" spans="1:36" ht="71.400000000000006" x14ac:dyDescent="0.3">
      <c r="A68" s="33" t="s">
        <v>121</v>
      </c>
      <c r="B68" s="36" t="s">
        <v>121</v>
      </c>
      <c r="C68" s="36"/>
      <c r="D68" s="36"/>
      <c r="E68" s="36"/>
      <c r="F68" s="36"/>
      <c r="G68" s="125">
        <f>(COUNTIF(G69:G69, "Oui")/COUNTA(G69:G69))*100</f>
        <v>0</v>
      </c>
      <c r="H68" s="120"/>
      <c r="I68" s="36"/>
      <c r="P68" s="2"/>
      <c r="AH68" s="3"/>
      <c r="AI68" s="2"/>
      <c r="AJ68" s="2"/>
    </row>
    <row r="69" spans="1:36" ht="71.400000000000006" hidden="1" x14ac:dyDescent="0.3">
      <c r="A69" s="126" t="s">
        <v>121</v>
      </c>
      <c r="B69" s="79" t="s">
        <v>160</v>
      </c>
      <c r="C69" s="134" t="s">
        <v>189</v>
      </c>
      <c r="D69" s="19" t="s">
        <v>716</v>
      </c>
      <c r="E69" s="72" t="s">
        <v>466</v>
      </c>
      <c r="F69" s="20"/>
      <c r="G69" s="120" t="s">
        <v>493</v>
      </c>
      <c r="H69" s="146"/>
      <c r="I69" s="20"/>
      <c r="P69" s="2"/>
      <c r="AH69" s="3"/>
      <c r="AI69" s="2"/>
      <c r="AJ69" s="2"/>
    </row>
    <row r="70" spans="1:36" ht="86.4" x14ac:dyDescent="0.3">
      <c r="A70" s="127" t="s">
        <v>418</v>
      </c>
      <c r="B70" s="128" t="s">
        <v>418</v>
      </c>
      <c r="C70" s="36"/>
      <c r="D70" s="36"/>
      <c r="E70" s="36"/>
      <c r="F70" s="36"/>
      <c r="G70" s="125">
        <f>(COUNTIF(G71:G76, "Oui")/COUNTA(G71:G76))*100</f>
        <v>0</v>
      </c>
      <c r="H70" s="120"/>
      <c r="I70" s="36"/>
      <c r="P70" s="2"/>
      <c r="AH70" s="3"/>
      <c r="AI70" s="2"/>
      <c r="AJ70" s="2"/>
    </row>
    <row r="71" spans="1:36" ht="126.6" hidden="1" customHeight="1" x14ac:dyDescent="0.45">
      <c r="A71" s="53" t="s">
        <v>418</v>
      </c>
      <c r="B71" s="67" t="s">
        <v>10</v>
      </c>
      <c r="C71" s="136" t="s">
        <v>417</v>
      </c>
      <c r="D71" s="135" t="s">
        <v>717</v>
      </c>
      <c r="E71" s="72" t="s">
        <v>466</v>
      </c>
      <c r="F71" s="20"/>
      <c r="G71" s="120" t="s">
        <v>493</v>
      </c>
      <c r="H71" s="146"/>
      <c r="I71" s="20"/>
      <c r="P71" s="2"/>
      <c r="AH71" s="3"/>
      <c r="AI71" s="2"/>
      <c r="AJ71" s="2"/>
    </row>
    <row r="72" spans="1:36" ht="102.6" hidden="1" x14ac:dyDescent="0.45">
      <c r="A72" s="53" t="s">
        <v>418</v>
      </c>
      <c r="B72" s="67" t="s">
        <v>146</v>
      </c>
      <c r="C72" s="136" t="s">
        <v>420</v>
      </c>
      <c r="D72" s="135" t="s">
        <v>718</v>
      </c>
      <c r="E72" s="72" t="s">
        <v>466</v>
      </c>
      <c r="F72" s="8"/>
      <c r="G72" s="120"/>
      <c r="H72" s="146"/>
      <c r="I72" s="8"/>
      <c r="P72" s="2"/>
      <c r="AH72" s="3"/>
      <c r="AI72" s="2"/>
      <c r="AJ72" s="2"/>
    </row>
    <row r="73" spans="1:36" ht="86.4" hidden="1" x14ac:dyDescent="0.45">
      <c r="A73" s="53" t="s">
        <v>418</v>
      </c>
      <c r="B73" s="67" t="s">
        <v>12</v>
      </c>
      <c r="C73" s="137" t="s">
        <v>421</v>
      </c>
      <c r="D73" s="135" t="s">
        <v>719</v>
      </c>
      <c r="E73" s="72" t="s">
        <v>466</v>
      </c>
      <c r="F73" s="8"/>
      <c r="G73" s="120"/>
      <c r="H73" s="146"/>
      <c r="I73" s="8"/>
      <c r="P73" s="2"/>
      <c r="AH73" s="3"/>
      <c r="AI73" s="2"/>
      <c r="AJ73" s="2"/>
    </row>
    <row r="74" spans="1:36" ht="86.4" hidden="1" x14ac:dyDescent="0.45">
      <c r="A74" s="53" t="s">
        <v>418</v>
      </c>
      <c r="B74" s="67" t="s">
        <v>419</v>
      </c>
      <c r="C74" s="137" t="s">
        <v>422</v>
      </c>
      <c r="D74" s="135" t="s">
        <v>720</v>
      </c>
      <c r="E74" s="72" t="s">
        <v>466</v>
      </c>
      <c r="F74" s="8"/>
      <c r="G74" s="120"/>
      <c r="H74" s="146"/>
      <c r="I74" s="8"/>
      <c r="P74" s="2"/>
      <c r="AH74" s="3"/>
      <c r="AI74" s="2"/>
      <c r="AJ74" s="2"/>
    </row>
    <row r="75" spans="1:36" ht="86.4" hidden="1" x14ac:dyDescent="0.45">
      <c r="A75" s="53" t="s">
        <v>418</v>
      </c>
      <c r="B75" s="67" t="s">
        <v>14</v>
      </c>
      <c r="C75" s="137" t="s">
        <v>423</v>
      </c>
      <c r="D75" s="135" t="s">
        <v>721</v>
      </c>
      <c r="E75" s="72" t="s">
        <v>466</v>
      </c>
      <c r="F75" s="8"/>
      <c r="G75" s="120"/>
      <c r="H75" s="146"/>
      <c r="I75" s="8"/>
      <c r="P75" s="2"/>
      <c r="AH75" s="3"/>
      <c r="AI75" s="2"/>
      <c r="AJ75" s="2"/>
    </row>
    <row r="76" spans="1:36" ht="100.8" hidden="1" x14ac:dyDescent="0.45">
      <c r="A76" s="53" t="s">
        <v>418</v>
      </c>
      <c r="B76" s="67" t="s">
        <v>159</v>
      </c>
      <c r="C76" s="137" t="s">
        <v>424</v>
      </c>
      <c r="D76" s="135" t="s">
        <v>722</v>
      </c>
      <c r="E76" s="72" t="s">
        <v>466</v>
      </c>
      <c r="F76" s="8"/>
      <c r="G76" s="120"/>
      <c r="H76" s="146"/>
      <c r="I76" s="8"/>
      <c r="P76" s="2"/>
      <c r="AH76" s="3"/>
      <c r="AI76" s="2"/>
      <c r="AJ76" s="2"/>
    </row>
    <row r="77" spans="1:36" x14ac:dyDescent="0.3">
      <c r="P77" s="2"/>
      <c r="AH77" s="3"/>
      <c r="AI77" s="2"/>
      <c r="AJ77" s="2"/>
    </row>
    <row r="78" spans="1:36" x14ac:dyDescent="0.3">
      <c r="P78" s="2"/>
    </row>
    <row r="79" spans="1:36" x14ac:dyDescent="0.3">
      <c r="P79" s="2"/>
    </row>
    <row r="80" spans="1:36" x14ac:dyDescent="0.3">
      <c r="P80" s="2"/>
    </row>
    <row r="81" spans="16:16" x14ac:dyDescent="0.3">
      <c r="P81" s="2"/>
    </row>
    <row r="82" spans="16:16" x14ac:dyDescent="0.3">
      <c r="P82" s="2"/>
    </row>
    <row r="83" spans="16:16" x14ac:dyDescent="0.3">
      <c r="P83" s="2"/>
    </row>
    <row r="84" spans="16:16" x14ac:dyDescent="0.3">
      <c r="P84" s="2"/>
    </row>
    <row r="149" spans="6:7" x14ac:dyDescent="0.3">
      <c r="F149" s="1"/>
      <c r="G149" s="1"/>
    </row>
    <row r="150" spans="6:7" x14ac:dyDescent="0.3">
      <c r="F150" s="3"/>
      <c r="G150" s="2"/>
    </row>
    <row r="151" spans="6:7" x14ac:dyDescent="0.3">
      <c r="F151" s="3"/>
      <c r="G151" s="2"/>
    </row>
    <row r="152" spans="6:7" x14ac:dyDescent="0.3">
      <c r="F152" s="3"/>
      <c r="G152" s="2"/>
    </row>
    <row r="153" spans="6:7" x14ac:dyDescent="0.3">
      <c r="F153" s="3"/>
      <c r="G153" s="2"/>
    </row>
    <row r="154" spans="6:7" x14ac:dyDescent="0.3">
      <c r="F154" s="3"/>
      <c r="G154" s="2"/>
    </row>
    <row r="155" spans="6:7" x14ac:dyDescent="0.3">
      <c r="F155" s="3"/>
      <c r="G155" s="2"/>
    </row>
  </sheetData>
  <phoneticPr fontId="4" type="noConversion"/>
  <conditionalFormatting sqref="E3 E5:E46 E48:E67 E69 E71:E76">
    <cfRule type="containsText" dxfId="314" priority="78" operator="containsText" text="Non">
      <formula>NOT(ISERROR(SEARCH("Non",E3)))</formula>
    </cfRule>
    <cfRule type="containsText" dxfId="313" priority="79" operator="containsText" text="Partiellement">
      <formula>NOT(ISERROR(SEARCH("Partiellement",E3)))</formula>
    </cfRule>
    <cfRule type="containsText" dxfId="312" priority="80" operator="containsText" text="Oui">
      <formula>NOT(ISERROR(SEARCH("Oui",E3)))</formula>
    </cfRule>
  </conditionalFormatting>
  <conditionalFormatting sqref="G3 G5:G46 G48:G67">
    <cfRule type="containsText" dxfId="311" priority="72" operator="containsText" text="Partiellement">
      <formula>NOT(ISERROR(SEARCH("Partiellement",G3)))</formula>
    </cfRule>
    <cfRule type="containsText" dxfId="310" priority="73" operator="containsText" text="Non Conforme">
      <formula>NOT(ISERROR(SEARCH("Non Conforme",G3)))</formula>
    </cfRule>
    <cfRule type="containsText" dxfId="309" priority="74" operator="containsText" text="Conforme">
      <formula>NOT(ISERROR(SEARCH("Conforme",G3)))</formula>
    </cfRule>
    <cfRule type="containsText" dxfId="308" priority="75" operator="containsText" text="Non">
      <formula>NOT(ISERROR(SEARCH("Non",G3)))</formula>
    </cfRule>
    <cfRule type="containsText" dxfId="307" priority="76" operator="containsText" text="Partiellement">
      <formula>NOT(ISERROR(SEARCH("Partiellement",G3)))</formula>
    </cfRule>
    <cfRule type="containsText" dxfId="306" priority="77" operator="containsText" text="Oui">
      <formula>NOT(ISERROR(SEARCH("Oui",G3)))</formula>
    </cfRule>
  </conditionalFormatting>
  <conditionalFormatting sqref="G4">
    <cfRule type="cellIs" dxfId="305" priority="56" operator="greaterThan">
      <formula>75</formula>
    </cfRule>
    <cfRule type="cellIs" dxfId="304" priority="57" operator="between">
      <formula>50</formula>
      <formula>75</formula>
    </cfRule>
    <cfRule type="cellIs" dxfId="303" priority="58" operator="between">
      <formula>25</formula>
      <formula>50</formula>
    </cfRule>
    <cfRule type="cellIs" dxfId="302" priority="59" operator="lessThan">
      <formula>25</formula>
    </cfRule>
    <cfRule type="cellIs" dxfId="301" priority="60" operator="between">
      <formula>0</formula>
      <formula>"24.9"</formula>
    </cfRule>
  </conditionalFormatting>
  <conditionalFormatting sqref="G47">
    <cfRule type="cellIs" dxfId="300" priority="1" operator="greaterThan">
      <formula>75</formula>
    </cfRule>
    <cfRule type="cellIs" dxfId="299" priority="2" operator="between">
      <formula>50</formula>
      <formula>75</formula>
    </cfRule>
    <cfRule type="cellIs" dxfId="298" priority="3" operator="between">
      <formula>25</formula>
      <formula>50</formula>
    </cfRule>
    <cfRule type="cellIs" dxfId="297" priority="4" operator="lessThan">
      <formula>25</formula>
    </cfRule>
    <cfRule type="cellIs" dxfId="296" priority="5" operator="between">
      <formula>0</formula>
      <formula>"24.9"</formula>
    </cfRule>
  </conditionalFormatting>
  <conditionalFormatting sqref="G68">
    <cfRule type="cellIs" dxfId="295" priority="51" operator="greaterThan">
      <formula>75</formula>
    </cfRule>
    <cfRule type="cellIs" dxfId="294" priority="52" operator="between">
      <formula>50</formula>
      <formula>75</formula>
    </cfRule>
    <cfRule type="cellIs" dxfId="293" priority="53" operator="between">
      <formula>25</formula>
      <formula>50</formula>
    </cfRule>
    <cfRule type="cellIs" dxfId="292" priority="54" operator="lessThan">
      <formula>25</formula>
    </cfRule>
    <cfRule type="cellIs" dxfId="291" priority="55" operator="between">
      <formula>0</formula>
      <formula>"24.9"</formula>
    </cfRule>
  </conditionalFormatting>
  <conditionalFormatting sqref="G69 G71:G76">
    <cfRule type="containsText" dxfId="290" priority="66" operator="containsText" text="Partiellement">
      <formula>NOT(ISERROR(SEARCH("Partiellement",G69)))</formula>
    </cfRule>
    <cfRule type="containsText" dxfId="289" priority="67" operator="containsText" text="Non Conforme">
      <formula>NOT(ISERROR(SEARCH("Non Conforme",G69)))</formula>
    </cfRule>
    <cfRule type="containsText" dxfId="288" priority="68" operator="containsText" text="Conforme">
      <formula>NOT(ISERROR(SEARCH("Conforme",G69)))</formula>
    </cfRule>
    <cfRule type="containsText" dxfId="287" priority="69" operator="containsText" text="Non">
      <formula>NOT(ISERROR(SEARCH("Non",G69)))</formula>
    </cfRule>
    <cfRule type="containsText" dxfId="286" priority="70" operator="containsText" text="Partiellement">
      <formula>NOT(ISERROR(SEARCH("Partiellement",G69)))</formula>
    </cfRule>
    <cfRule type="containsText" dxfId="285" priority="71" operator="containsText" text="Oui">
      <formula>NOT(ISERROR(SEARCH("Oui",G69)))</formula>
    </cfRule>
  </conditionalFormatting>
  <conditionalFormatting sqref="G70">
    <cfRule type="cellIs" dxfId="284" priority="46" operator="greaterThan">
      <formula>75</formula>
    </cfRule>
    <cfRule type="cellIs" dxfId="283" priority="47" operator="between">
      <formula>50</formula>
      <formula>75</formula>
    </cfRule>
    <cfRule type="cellIs" dxfId="282" priority="48" operator="between">
      <formula>25</formula>
      <formula>50</formula>
    </cfRule>
    <cfRule type="cellIs" dxfId="281" priority="49" operator="lessThan">
      <formula>25</formula>
    </cfRule>
    <cfRule type="cellIs" dxfId="280" priority="50" operator="between">
      <formula>0</formula>
      <formula>"24.9"</formula>
    </cfRule>
  </conditionalFormatting>
  <conditionalFormatting sqref="H2">
    <cfRule type="containsText" dxfId="279" priority="38" operator="containsText" text="Non Conforme">
      <formula>NOT(ISERROR(SEARCH("Non Conforme",H2)))</formula>
    </cfRule>
    <cfRule type="containsText" dxfId="278" priority="39" operator="containsText" text="Conforme">
      <formula>NOT(ISERROR(SEARCH("Conforme",H2)))</formula>
    </cfRule>
    <cfRule type="containsText" dxfId="277" priority="40" operator="containsText" text="Partiellement">
      <formula>NOT(ISERROR(SEARCH("Partiellement",H2)))</formula>
    </cfRule>
    <cfRule type="containsText" dxfId="276" priority="41" operator="containsText" text="Non Conforme">
      <formula>NOT(ISERROR(SEARCH("Non Conforme",H2)))</formula>
    </cfRule>
    <cfRule type="containsText" dxfId="275" priority="42" operator="containsText" text="Conforme">
      <formula>NOT(ISERROR(SEARCH("Conforme",H2)))</formula>
    </cfRule>
    <cfRule type="containsText" dxfId="274" priority="43" operator="containsText" text="Non">
      <formula>NOT(ISERROR(SEARCH("Non",H2)))</formula>
    </cfRule>
    <cfRule type="containsText" dxfId="273" priority="44" operator="containsText" text="Partiellement">
      <formula>NOT(ISERROR(SEARCH("Partiellement",H2)))</formula>
    </cfRule>
    <cfRule type="containsText" dxfId="272" priority="45" operator="containsText" text="Oui">
      <formula>NOT(ISERROR(SEARCH("Oui",H2)))</formula>
    </cfRule>
  </conditionalFormatting>
  <conditionalFormatting sqref="H4">
    <cfRule type="containsText" dxfId="271" priority="30" operator="containsText" text="Non Conforme">
      <formula>NOT(ISERROR(SEARCH("Non Conforme",H4)))</formula>
    </cfRule>
    <cfRule type="containsText" dxfId="270" priority="31" operator="containsText" text="Conforme">
      <formula>NOT(ISERROR(SEARCH("Conforme",H4)))</formula>
    </cfRule>
    <cfRule type="containsText" dxfId="269" priority="32" operator="containsText" text="Partiellement">
      <formula>NOT(ISERROR(SEARCH("Partiellement",H4)))</formula>
    </cfRule>
    <cfRule type="containsText" dxfId="268" priority="33" operator="containsText" text="Non Conforme">
      <formula>NOT(ISERROR(SEARCH("Non Conforme",H4)))</formula>
    </cfRule>
    <cfRule type="containsText" dxfId="267" priority="34" operator="containsText" text="Conforme">
      <formula>NOT(ISERROR(SEARCH("Conforme",H4)))</formula>
    </cfRule>
    <cfRule type="containsText" dxfId="266" priority="35" operator="containsText" text="Non">
      <formula>NOT(ISERROR(SEARCH("Non",H4)))</formula>
    </cfRule>
    <cfRule type="containsText" dxfId="265" priority="36" operator="containsText" text="Partiellement">
      <formula>NOT(ISERROR(SEARCH("Partiellement",H4)))</formula>
    </cfRule>
    <cfRule type="containsText" dxfId="264" priority="37" operator="containsText" text="Oui">
      <formula>NOT(ISERROR(SEARCH("Oui",H4)))</formula>
    </cfRule>
  </conditionalFormatting>
  <conditionalFormatting sqref="H47">
    <cfRule type="containsText" dxfId="263" priority="22" operator="containsText" text="Non Conforme">
      <formula>NOT(ISERROR(SEARCH("Non Conforme",H47)))</formula>
    </cfRule>
    <cfRule type="containsText" dxfId="262" priority="23" operator="containsText" text="Conforme">
      <formula>NOT(ISERROR(SEARCH("Conforme",H47)))</formula>
    </cfRule>
    <cfRule type="containsText" dxfId="261" priority="24" operator="containsText" text="Partiellement">
      <formula>NOT(ISERROR(SEARCH("Partiellement",H47)))</formula>
    </cfRule>
    <cfRule type="containsText" dxfId="260" priority="25" operator="containsText" text="Non Conforme">
      <formula>NOT(ISERROR(SEARCH("Non Conforme",H47)))</formula>
    </cfRule>
    <cfRule type="containsText" dxfId="259" priority="26" operator="containsText" text="Conforme">
      <formula>NOT(ISERROR(SEARCH("Conforme",H47)))</formula>
    </cfRule>
    <cfRule type="containsText" dxfId="258" priority="27" operator="containsText" text="Non">
      <formula>NOT(ISERROR(SEARCH("Non",H47)))</formula>
    </cfRule>
    <cfRule type="containsText" dxfId="257" priority="28" operator="containsText" text="Partiellement">
      <formula>NOT(ISERROR(SEARCH("Partiellement",H47)))</formula>
    </cfRule>
    <cfRule type="containsText" dxfId="256" priority="29" operator="containsText" text="Oui">
      <formula>NOT(ISERROR(SEARCH("Oui",H47)))</formula>
    </cfRule>
  </conditionalFormatting>
  <conditionalFormatting sqref="H68">
    <cfRule type="containsText" dxfId="255" priority="14" operator="containsText" text="Non Conforme">
      <formula>NOT(ISERROR(SEARCH("Non Conforme",H68)))</formula>
    </cfRule>
    <cfRule type="containsText" dxfId="254" priority="15" operator="containsText" text="Conforme">
      <formula>NOT(ISERROR(SEARCH("Conforme",H68)))</formula>
    </cfRule>
    <cfRule type="containsText" dxfId="253" priority="16" operator="containsText" text="Partiellement">
      <formula>NOT(ISERROR(SEARCH("Partiellement",H68)))</formula>
    </cfRule>
    <cfRule type="containsText" dxfId="252" priority="17" operator="containsText" text="Non Conforme">
      <formula>NOT(ISERROR(SEARCH("Non Conforme",H68)))</formula>
    </cfRule>
    <cfRule type="containsText" dxfId="251" priority="18" operator="containsText" text="Conforme">
      <formula>NOT(ISERROR(SEARCH("Conforme",H68)))</formula>
    </cfRule>
    <cfRule type="containsText" dxfId="250" priority="19" operator="containsText" text="Non">
      <formula>NOT(ISERROR(SEARCH("Non",H68)))</formula>
    </cfRule>
    <cfRule type="containsText" dxfId="249" priority="20" operator="containsText" text="Partiellement">
      <formula>NOT(ISERROR(SEARCH("Partiellement",H68)))</formula>
    </cfRule>
    <cfRule type="containsText" dxfId="248" priority="21" operator="containsText" text="Oui">
      <formula>NOT(ISERROR(SEARCH("Oui",H68)))</formula>
    </cfRule>
  </conditionalFormatting>
  <conditionalFormatting sqref="H70">
    <cfRule type="containsText" dxfId="247" priority="6" operator="containsText" text="Non Conforme">
      <formula>NOT(ISERROR(SEARCH("Non Conforme",H70)))</formula>
    </cfRule>
    <cfRule type="containsText" dxfId="246" priority="7" operator="containsText" text="Conforme">
      <formula>NOT(ISERROR(SEARCH("Conforme",H70)))</formula>
    </cfRule>
    <cfRule type="containsText" dxfId="245" priority="8" operator="containsText" text="Partiellement">
      <formula>NOT(ISERROR(SEARCH("Partiellement",H70)))</formula>
    </cfRule>
    <cfRule type="containsText" dxfId="244" priority="9" operator="containsText" text="Non Conforme">
      <formula>NOT(ISERROR(SEARCH("Non Conforme",H70)))</formula>
    </cfRule>
    <cfRule type="containsText" dxfId="243" priority="10" operator="containsText" text="Conforme">
      <formula>NOT(ISERROR(SEARCH("Conforme",H70)))</formula>
    </cfRule>
    <cfRule type="containsText" dxfId="242" priority="11" operator="containsText" text="Non">
      <formula>NOT(ISERROR(SEARCH("Non",H70)))</formula>
    </cfRule>
    <cfRule type="containsText" dxfId="241" priority="12" operator="containsText" text="Partiellement">
      <formula>NOT(ISERROR(SEARCH("Partiellement",H70)))</formula>
    </cfRule>
    <cfRule type="containsText" dxfId="240" priority="13" operator="containsText" text="Oui">
      <formula>NOT(ISERROR(SEARCH("Oui",H70)))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C71F-B035-4D20-A79E-5F0EC3C9661E}">
  <sheetPr>
    <tabColor theme="4" tint="-0.499984740745262"/>
  </sheetPr>
  <dimension ref="A1:AX113"/>
  <sheetViews>
    <sheetView zoomScale="51" zoomScaleNormal="85" workbookViewId="0">
      <selection activeCell="D39" sqref="D39"/>
    </sheetView>
  </sheetViews>
  <sheetFormatPr defaultColWidth="8.88671875" defaultRowHeight="14.4" x14ac:dyDescent="0.3"/>
  <cols>
    <col min="1" max="1" width="17.6640625" customWidth="1"/>
    <col min="2" max="2" width="29" style="4" customWidth="1"/>
    <col min="3" max="3" width="121.6640625" customWidth="1"/>
    <col min="4" max="4" width="96.21875" customWidth="1"/>
    <col min="5" max="5" width="34" customWidth="1"/>
    <col min="6" max="6" width="104.33203125" customWidth="1"/>
    <col min="7" max="7" width="53.33203125" customWidth="1"/>
    <col min="8" max="8" width="70.44140625" customWidth="1"/>
    <col min="9" max="9" width="136.44140625" customWidth="1"/>
  </cols>
  <sheetData>
    <row r="1" spans="1:50" s="61" customFormat="1" ht="32.4" x14ac:dyDescent="0.6">
      <c r="A1" s="57" t="s">
        <v>0</v>
      </c>
      <c r="B1" s="57" t="s">
        <v>7</v>
      </c>
      <c r="C1" s="58" t="s">
        <v>1</v>
      </c>
      <c r="D1" s="58" t="s">
        <v>372</v>
      </c>
      <c r="E1" s="58" t="s">
        <v>371</v>
      </c>
      <c r="F1" s="58" t="s">
        <v>4</v>
      </c>
      <c r="G1" s="117" t="s">
        <v>767</v>
      </c>
      <c r="H1" s="117" t="s">
        <v>766</v>
      </c>
      <c r="I1" s="64" t="s">
        <v>5</v>
      </c>
    </row>
    <row r="2" spans="1:50" s="6" customFormat="1" ht="40.799999999999997" x14ac:dyDescent="0.3">
      <c r="A2" s="33" t="s">
        <v>384</v>
      </c>
      <c r="B2" s="36" t="s">
        <v>770</v>
      </c>
      <c r="C2" s="39"/>
      <c r="D2" s="40"/>
      <c r="E2" s="39"/>
      <c r="F2" s="39"/>
      <c r="G2" s="125">
        <f>(COUNTIF(G3:G39, "Oui")/COUNTA(G3:G39))*100</f>
        <v>0</v>
      </c>
      <c r="H2" s="120"/>
      <c r="I2" s="39"/>
    </row>
    <row r="3" spans="1:50" ht="343.2" x14ac:dyDescent="0.3">
      <c r="A3" s="33" t="s">
        <v>384</v>
      </c>
      <c r="B3" s="65" t="s">
        <v>205</v>
      </c>
      <c r="C3" s="19" t="s">
        <v>771</v>
      </c>
      <c r="D3" s="11" t="s">
        <v>828</v>
      </c>
      <c r="E3" s="72" t="s">
        <v>466</v>
      </c>
      <c r="F3" s="8"/>
      <c r="G3" s="120" t="s">
        <v>493</v>
      </c>
      <c r="H3" s="146"/>
      <c r="I3" s="8"/>
    </row>
    <row r="4" spans="1:50" ht="409.6" x14ac:dyDescent="0.3">
      <c r="A4" s="33" t="s">
        <v>384</v>
      </c>
      <c r="B4" s="65" t="s">
        <v>200</v>
      </c>
      <c r="C4" s="19" t="s">
        <v>772</v>
      </c>
      <c r="D4" s="11" t="s">
        <v>829</v>
      </c>
      <c r="E4" s="72" t="s">
        <v>466</v>
      </c>
      <c r="F4" s="8"/>
      <c r="G4" s="120" t="s">
        <v>493</v>
      </c>
      <c r="H4" s="146"/>
      <c r="I4" s="8"/>
      <c r="AV4" s="1"/>
      <c r="AW4" s="1"/>
      <c r="AX4" s="1"/>
    </row>
    <row r="5" spans="1:50" ht="187.2" x14ac:dyDescent="0.3">
      <c r="A5" s="33" t="s">
        <v>384</v>
      </c>
      <c r="B5" s="65" t="s">
        <v>774</v>
      </c>
      <c r="C5" s="19" t="s">
        <v>773</v>
      </c>
      <c r="D5" s="11" t="s">
        <v>830</v>
      </c>
      <c r="E5" s="72" t="s">
        <v>466</v>
      </c>
      <c r="F5" s="8"/>
      <c r="G5" s="120" t="s">
        <v>493</v>
      </c>
      <c r="H5" s="146"/>
      <c r="I5" s="8"/>
      <c r="AJ5" s="1"/>
      <c r="AK5" s="1"/>
      <c r="AV5" s="3"/>
      <c r="AW5" s="2"/>
      <c r="AX5" s="2"/>
    </row>
    <row r="6" spans="1:50" ht="203.4" customHeight="1" x14ac:dyDescent="0.3">
      <c r="A6" s="33" t="s">
        <v>384</v>
      </c>
      <c r="B6" s="65" t="s">
        <v>776</v>
      </c>
      <c r="C6" s="19" t="s">
        <v>775</v>
      </c>
      <c r="D6" s="11" t="s">
        <v>831</v>
      </c>
      <c r="E6" s="72" t="s">
        <v>466</v>
      </c>
      <c r="F6" s="8"/>
      <c r="G6" s="120" t="s">
        <v>493</v>
      </c>
      <c r="H6" s="146"/>
      <c r="I6" s="8"/>
      <c r="AJ6" s="3"/>
      <c r="AK6" s="2"/>
      <c r="AV6" s="3"/>
      <c r="AW6" s="2"/>
      <c r="AX6" s="2"/>
    </row>
    <row r="7" spans="1:50" ht="409.2" customHeight="1" x14ac:dyDescent="0.3">
      <c r="A7" s="33" t="s">
        <v>384</v>
      </c>
      <c r="B7" s="65" t="s">
        <v>203</v>
      </c>
      <c r="C7" s="19" t="s">
        <v>777</v>
      </c>
      <c r="D7" s="11" t="s">
        <v>832</v>
      </c>
      <c r="E7" s="72" t="s">
        <v>466</v>
      </c>
      <c r="F7" s="8"/>
      <c r="G7" s="120" t="s">
        <v>493</v>
      </c>
      <c r="H7" s="146"/>
      <c r="I7" s="8"/>
      <c r="AJ7" s="3"/>
      <c r="AK7" s="2"/>
      <c r="AV7" s="3"/>
      <c r="AW7" s="2"/>
      <c r="AX7" s="2"/>
    </row>
    <row r="8" spans="1:50" ht="409.6" x14ac:dyDescent="0.3">
      <c r="A8" s="33" t="s">
        <v>384</v>
      </c>
      <c r="B8" s="65" t="s">
        <v>220</v>
      </c>
      <c r="C8" s="19" t="s">
        <v>778</v>
      </c>
      <c r="D8" s="11" t="s">
        <v>833</v>
      </c>
      <c r="E8" s="72" t="s">
        <v>466</v>
      </c>
      <c r="F8" s="8" t="s">
        <v>754</v>
      </c>
      <c r="G8" s="120" t="s">
        <v>493</v>
      </c>
      <c r="H8" s="146"/>
      <c r="I8" s="8"/>
      <c r="AJ8" s="3"/>
      <c r="AK8" s="2"/>
      <c r="AV8" s="3"/>
      <c r="AW8" s="2"/>
      <c r="AX8" s="2"/>
    </row>
    <row r="9" spans="1:50" ht="409.6" x14ac:dyDescent="0.3">
      <c r="A9" s="33" t="s">
        <v>384</v>
      </c>
      <c r="B9" s="65" t="s">
        <v>338</v>
      </c>
      <c r="C9" s="19" t="s">
        <v>779</v>
      </c>
      <c r="D9" s="11" t="s">
        <v>834</v>
      </c>
      <c r="E9" s="72" t="s">
        <v>466</v>
      </c>
      <c r="F9" s="8"/>
      <c r="G9" s="120" t="s">
        <v>493</v>
      </c>
      <c r="H9" s="146"/>
      <c r="I9" s="8"/>
      <c r="AJ9" s="3"/>
      <c r="AK9" s="2"/>
      <c r="AV9" s="3"/>
      <c r="AW9" s="2"/>
      <c r="AX9" s="2"/>
    </row>
    <row r="10" spans="1:50" ht="409.6" x14ac:dyDescent="0.3">
      <c r="A10" s="33" t="s">
        <v>384</v>
      </c>
      <c r="B10" s="65" t="s">
        <v>340</v>
      </c>
      <c r="C10" s="19" t="s">
        <v>780</v>
      </c>
      <c r="D10" s="11" t="s">
        <v>835</v>
      </c>
      <c r="E10" s="72" t="s">
        <v>466</v>
      </c>
      <c r="F10" s="8" t="s">
        <v>760</v>
      </c>
      <c r="G10" s="120" t="s">
        <v>493</v>
      </c>
      <c r="H10" s="146"/>
      <c r="I10" s="8"/>
      <c r="AJ10" s="3"/>
      <c r="AK10" s="2"/>
      <c r="AV10" s="3"/>
      <c r="AW10" s="2"/>
      <c r="AX10" s="2"/>
    </row>
    <row r="11" spans="1:50" ht="327.60000000000002" x14ac:dyDescent="0.3">
      <c r="A11" s="33" t="s">
        <v>384</v>
      </c>
      <c r="B11" s="65" t="s">
        <v>287</v>
      </c>
      <c r="C11" s="19" t="s">
        <v>782</v>
      </c>
      <c r="D11" s="11" t="s">
        <v>836</v>
      </c>
      <c r="E11" s="72" t="s">
        <v>466</v>
      </c>
      <c r="F11" s="8"/>
      <c r="G11" s="120" t="s">
        <v>493</v>
      </c>
      <c r="H11" s="146"/>
      <c r="I11" s="8"/>
      <c r="AJ11" s="3"/>
      <c r="AK11" s="2"/>
      <c r="AV11" s="3"/>
      <c r="AW11" s="2"/>
      <c r="AX11" s="2"/>
    </row>
    <row r="12" spans="1:50" ht="62.4" x14ac:dyDescent="0.3">
      <c r="A12" s="33" t="s">
        <v>384</v>
      </c>
      <c r="B12" s="65" t="s">
        <v>781</v>
      </c>
      <c r="C12" s="19" t="s">
        <v>783</v>
      </c>
      <c r="D12" s="11" t="s">
        <v>837</v>
      </c>
      <c r="E12" s="72" t="s">
        <v>466</v>
      </c>
      <c r="F12" s="8"/>
      <c r="G12" s="120" t="s">
        <v>493</v>
      </c>
      <c r="H12" s="146"/>
      <c r="I12" s="8"/>
      <c r="AJ12" s="3"/>
      <c r="AK12" s="2"/>
      <c r="AV12" s="3"/>
      <c r="AW12" s="2"/>
      <c r="AX12" s="2"/>
    </row>
    <row r="13" spans="1:50" ht="405.6" x14ac:dyDescent="0.3">
      <c r="A13" s="33" t="s">
        <v>384</v>
      </c>
      <c r="B13" s="65" t="s">
        <v>289</v>
      </c>
      <c r="C13" s="19" t="s">
        <v>784</v>
      </c>
      <c r="D13" s="11" t="s">
        <v>838</v>
      </c>
      <c r="E13" s="72" t="s">
        <v>466</v>
      </c>
      <c r="F13" s="8"/>
      <c r="G13" s="120" t="s">
        <v>493</v>
      </c>
      <c r="H13" s="146"/>
      <c r="I13" s="8"/>
      <c r="AJ13" s="3"/>
      <c r="AK13" s="2"/>
      <c r="AV13" s="3"/>
      <c r="AW13" s="2"/>
      <c r="AX13" s="2"/>
    </row>
    <row r="14" spans="1:50" ht="234" x14ac:dyDescent="0.3">
      <c r="A14" s="33" t="s">
        <v>384</v>
      </c>
      <c r="B14" s="65" t="s">
        <v>785</v>
      </c>
      <c r="C14" s="19" t="s">
        <v>786</v>
      </c>
      <c r="D14" s="11" t="s">
        <v>839</v>
      </c>
      <c r="E14" s="72" t="s">
        <v>466</v>
      </c>
      <c r="F14" s="8"/>
      <c r="G14" s="120" t="s">
        <v>493</v>
      </c>
      <c r="H14" s="146"/>
      <c r="I14" s="8"/>
      <c r="M14" s="3"/>
      <c r="N14" s="2"/>
      <c r="O14" s="2"/>
      <c r="AJ14" s="3"/>
      <c r="AK14" s="2"/>
    </row>
    <row r="15" spans="1:50" ht="78" x14ac:dyDescent="0.3">
      <c r="A15" s="33" t="s">
        <v>384</v>
      </c>
      <c r="B15" s="65" t="s">
        <v>787</v>
      </c>
      <c r="C15" s="19" t="s">
        <v>788</v>
      </c>
      <c r="D15" s="11" t="s">
        <v>840</v>
      </c>
      <c r="E15" s="72" t="s">
        <v>466</v>
      </c>
      <c r="F15" s="8"/>
      <c r="G15" s="120" t="s">
        <v>493</v>
      </c>
      <c r="H15" s="146"/>
      <c r="I15" s="8"/>
      <c r="M15" s="3"/>
      <c r="N15" s="2"/>
      <c r="O15" s="2"/>
      <c r="AJ15" s="3"/>
      <c r="AK15" s="2"/>
    </row>
    <row r="16" spans="1:50" ht="187.2" x14ac:dyDescent="0.3">
      <c r="A16" s="33" t="s">
        <v>384</v>
      </c>
      <c r="B16" s="65" t="s">
        <v>789</v>
      </c>
      <c r="C16" s="19" t="s">
        <v>790</v>
      </c>
      <c r="D16" s="11" t="s">
        <v>841</v>
      </c>
      <c r="E16" s="72" t="s">
        <v>466</v>
      </c>
      <c r="F16" s="8"/>
      <c r="G16" s="120" t="s">
        <v>493</v>
      </c>
      <c r="H16" s="146"/>
      <c r="I16" s="8"/>
      <c r="M16" s="3"/>
      <c r="N16" s="2"/>
      <c r="O16" s="2"/>
      <c r="AJ16" s="3"/>
      <c r="AK16" s="2"/>
    </row>
    <row r="17" spans="1:37" ht="202.8" x14ac:dyDescent="0.3">
      <c r="A17" s="33" t="s">
        <v>384</v>
      </c>
      <c r="B17" s="65" t="s">
        <v>791</v>
      </c>
      <c r="C17" s="19" t="s">
        <v>792</v>
      </c>
      <c r="D17" s="11" t="s">
        <v>842</v>
      </c>
      <c r="E17" s="72" t="s">
        <v>466</v>
      </c>
      <c r="F17" s="8"/>
      <c r="G17" s="120" t="s">
        <v>493</v>
      </c>
      <c r="H17" s="146"/>
      <c r="I17" s="8"/>
      <c r="M17" s="3"/>
      <c r="N17" s="2"/>
      <c r="O17" s="2"/>
      <c r="AJ17" s="3"/>
      <c r="AK17" s="2"/>
    </row>
    <row r="18" spans="1:37" ht="140.4" x14ac:dyDescent="0.3">
      <c r="A18" s="33" t="s">
        <v>384</v>
      </c>
      <c r="B18" s="65" t="s">
        <v>793</v>
      </c>
      <c r="C18" s="19" t="s">
        <v>794</v>
      </c>
      <c r="D18" s="11" t="s">
        <v>843</v>
      </c>
      <c r="E18" s="72" t="s">
        <v>466</v>
      </c>
      <c r="F18" s="8"/>
      <c r="G18" s="120" t="s">
        <v>493</v>
      </c>
      <c r="H18" s="146"/>
      <c r="I18" s="8"/>
      <c r="M18" s="3"/>
      <c r="N18" s="2"/>
      <c r="O18" s="2"/>
    </row>
    <row r="19" spans="1:37" ht="234" x14ac:dyDescent="0.3">
      <c r="A19" s="33" t="s">
        <v>384</v>
      </c>
      <c r="B19" s="65" t="s">
        <v>795</v>
      </c>
      <c r="C19" s="19" t="s">
        <v>796</v>
      </c>
      <c r="D19" s="11" t="s">
        <v>844</v>
      </c>
      <c r="E19" s="72" t="s">
        <v>466</v>
      </c>
      <c r="F19" s="8"/>
      <c r="G19" s="120" t="s">
        <v>493</v>
      </c>
      <c r="H19" s="146"/>
      <c r="I19" s="8"/>
      <c r="M19" s="3"/>
      <c r="N19" s="2"/>
      <c r="O19" s="2"/>
    </row>
    <row r="20" spans="1:37" ht="171.6" x14ac:dyDescent="0.3">
      <c r="A20" s="33" t="s">
        <v>384</v>
      </c>
      <c r="B20" s="65" t="s">
        <v>295</v>
      </c>
      <c r="C20" s="19" t="s">
        <v>797</v>
      </c>
      <c r="D20" s="11" t="s">
        <v>845</v>
      </c>
      <c r="E20" s="72" t="s">
        <v>466</v>
      </c>
      <c r="F20" s="8"/>
      <c r="G20" s="120" t="s">
        <v>493</v>
      </c>
      <c r="H20" s="146"/>
      <c r="I20" s="8"/>
      <c r="M20" s="3"/>
      <c r="N20" s="2"/>
      <c r="O20" s="2"/>
    </row>
    <row r="21" spans="1:37" ht="234" x14ac:dyDescent="0.3">
      <c r="A21" s="33" t="s">
        <v>384</v>
      </c>
      <c r="B21" s="65" t="s">
        <v>798</v>
      </c>
      <c r="C21" s="19" t="s">
        <v>799</v>
      </c>
      <c r="D21" s="11"/>
      <c r="E21" s="72" t="s">
        <v>466</v>
      </c>
      <c r="F21" s="8"/>
      <c r="G21" s="120" t="s">
        <v>493</v>
      </c>
      <c r="H21" s="146"/>
      <c r="I21" s="8"/>
      <c r="M21" s="3"/>
      <c r="N21" s="2"/>
      <c r="O21" s="2"/>
    </row>
    <row r="22" spans="1:37" ht="409.6" x14ac:dyDescent="0.3">
      <c r="A22" s="33" t="s">
        <v>384</v>
      </c>
      <c r="B22" s="65" t="s">
        <v>297</v>
      </c>
      <c r="C22" s="19" t="s">
        <v>800</v>
      </c>
      <c r="D22" s="11"/>
      <c r="E22" s="72" t="s">
        <v>466</v>
      </c>
      <c r="F22" s="8"/>
      <c r="G22" s="120" t="s">
        <v>493</v>
      </c>
      <c r="H22" s="146"/>
      <c r="I22" s="8"/>
      <c r="M22" s="3"/>
      <c r="N22" s="2"/>
      <c r="O22" s="2"/>
    </row>
    <row r="23" spans="1:37" ht="409.6" x14ac:dyDescent="0.3">
      <c r="A23" s="33" t="s">
        <v>384</v>
      </c>
      <c r="B23" s="65" t="s">
        <v>301</v>
      </c>
      <c r="C23" s="19" t="s">
        <v>801</v>
      </c>
      <c r="D23" s="11"/>
      <c r="E23" s="72" t="s">
        <v>466</v>
      </c>
      <c r="F23" s="8"/>
      <c r="G23" s="120" t="s">
        <v>493</v>
      </c>
      <c r="H23" s="146"/>
      <c r="I23" s="8"/>
      <c r="M23" s="3"/>
      <c r="N23" s="2"/>
      <c r="O23" s="2"/>
      <c r="AJ23" s="1"/>
      <c r="AK23" s="1"/>
    </row>
    <row r="24" spans="1:37" ht="296.39999999999998" x14ac:dyDescent="0.3">
      <c r="A24" s="33" t="s">
        <v>384</v>
      </c>
      <c r="B24" s="65" t="s">
        <v>141</v>
      </c>
      <c r="C24" s="19" t="s">
        <v>802</v>
      </c>
      <c r="D24" s="18"/>
      <c r="E24" s="72" t="s">
        <v>466</v>
      </c>
      <c r="F24" s="8"/>
      <c r="G24" s="120" t="s">
        <v>493</v>
      </c>
      <c r="H24" s="146"/>
      <c r="I24" s="8"/>
      <c r="AJ24" s="3"/>
      <c r="AK24" s="2"/>
    </row>
    <row r="25" spans="1:37" ht="280.8" x14ac:dyDescent="0.3">
      <c r="A25" s="33" t="s">
        <v>384</v>
      </c>
      <c r="B25" s="65" t="s">
        <v>804</v>
      </c>
      <c r="C25" s="19" t="s">
        <v>803</v>
      </c>
      <c r="D25" s="18"/>
      <c r="E25" s="72" t="s">
        <v>466</v>
      </c>
      <c r="F25" s="8"/>
      <c r="G25" s="120" t="s">
        <v>493</v>
      </c>
      <c r="H25" s="146"/>
      <c r="I25" s="8"/>
      <c r="AJ25" s="3"/>
      <c r="AK25" s="2"/>
    </row>
    <row r="26" spans="1:37" ht="296.39999999999998" x14ac:dyDescent="0.3">
      <c r="A26" s="33" t="s">
        <v>384</v>
      </c>
      <c r="B26" s="65" t="s">
        <v>806</v>
      </c>
      <c r="C26" s="19" t="s">
        <v>805</v>
      </c>
      <c r="D26" s="18"/>
      <c r="E26" s="72" t="s">
        <v>466</v>
      </c>
      <c r="F26" s="8"/>
      <c r="G26" s="120" t="s">
        <v>493</v>
      </c>
      <c r="H26" s="146"/>
      <c r="I26" s="8"/>
      <c r="AJ26" s="3"/>
      <c r="AK26" s="2"/>
    </row>
    <row r="27" spans="1:37" ht="409.6" x14ac:dyDescent="0.3">
      <c r="A27" s="33" t="s">
        <v>384</v>
      </c>
      <c r="B27" s="65" t="s">
        <v>807</v>
      </c>
      <c r="C27" s="19" t="s">
        <v>808</v>
      </c>
      <c r="D27" s="18"/>
      <c r="E27" s="72" t="s">
        <v>466</v>
      </c>
      <c r="F27" s="8"/>
      <c r="G27" s="120" t="s">
        <v>493</v>
      </c>
      <c r="H27" s="146"/>
      <c r="I27" s="8"/>
      <c r="AJ27" s="3"/>
      <c r="AK27" s="2"/>
    </row>
    <row r="28" spans="1:37" ht="374.4" x14ac:dyDescent="0.3">
      <c r="A28" s="33" t="s">
        <v>384</v>
      </c>
      <c r="B28" s="65" t="s">
        <v>809</v>
      </c>
      <c r="C28" s="19" t="s">
        <v>810</v>
      </c>
      <c r="D28" s="18"/>
      <c r="E28" s="72" t="s">
        <v>466</v>
      </c>
      <c r="F28" s="8"/>
      <c r="G28" s="120" t="s">
        <v>493</v>
      </c>
      <c r="H28" s="146"/>
      <c r="I28" s="8"/>
      <c r="AJ28" s="3"/>
      <c r="AK28" s="2"/>
    </row>
    <row r="29" spans="1:37" ht="343.2" x14ac:dyDescent="0.3">
      <c r="A29" s="33" t="s">
        <v>384</v>
      </c>
      <c r="B29" s="65" t="s">
        <v>812</v>
      </c>
      <c r="C29" s="19" t="s">
        <v>811</v>
      </c>
      <c r="D29" s="18"/>
      <c r="E29" s="72" t="s">
        <v>466</v>
      </c>
      <c r="F29" s="8"/>
      <c r="G29" s="120" t="s">
        <v>493</v>
      </c>
      <c r="H29" s="146"/>
      <c r="I29" s="8"/>
      <c r="AJ29" s="3"/>
      <c r="AK29" s="2"/>
    </row>
    <row r="30" spans="1:37" ht="249.6" x14ac:dyDescent="0.3">
      <c r="A30" s="33" t="s">
        <v>384</v>
      </c>
      <c r="B30" s="65" t="s">
        <v>813</v>
      </c>
      <c r="C30" s="19" t="s">
        <v>814</v>
      </c>
      <c r="D30" s="18"/>
      <c r="E30" s="72" t="s">
        <v>466</v>
      </c>
      <c r="F30" s="8"/>
      <c r="G30" s="120" t="s">
        <v>493</v>
      </c>
      <c r="H30" s="146"/>
      <c r="I30" s="8"/>
      <c r="AJ30" s="3"/>
      <c r="AK30" s="2"/>
    </row>
    <row r="31" spans="1:37" ht="409.6" x14ac:dyDescent="0.3">
      <c r="A31" s="33" t="s">
        <v>384</v>
      </c>
      <c r="B31" s="65" t="s">
        <v>815</v>
      </c>
      <c r="C31" s="19" t="s">
        <v>816</v>
      </c>
      <c r="D31" s="22"/>
      <c r="E31" s="72" t="s">
        <v>466</v>
      </c>
      <c r="F31" s="8"/>
      <c r="G31" s="120" t="s">
        <v>493</v>
      </c>
      <c r="H31" s="146"/>
      <c r="I31" s="8"/>
      <c r="AJ31" s="3"/>
      <c r="AK31" s="2"/>
    </row>
    <row r="32" spans="1:37" ht="327.60000000000002" x14ac:dyDescent="0.3">
      <c r="A32" s="33" t="s">
        <v>384</v>
      </c>
      <c r="B32" s="65" t="s">
        <v>817</v>
      </c>
      <c r="C32" s="19" t="s">
        <v>818</v>
      </c>
      <c r="D32" s="18"/>
      <c r="E32" s="72" t="s">
        <v>466</v>
      </c>
      <c r="F32" s="8"/>
      <c r="G32" s="120" t="s">
        <v>493</v>
      </c>
      <c r="H32" s="146"/>
      <c r="I32" s="8"/>
      <c r="AJ32" s="3"/>
      <c r="AK32" s="3"/>
    </row>
    <row r="33" spans="1:37" ht="124.8" x14ac:dyDescent="0.3">
      <c r="A33" s="33" t="s">
        <v>384</v>
      </c>
      <c r="B33" s="65" t="s">
        <v>316</v>
      </c>
      <c r="C33" s="19" t="s">
        <v>819</v>
      </c>
      <c r="D33" s="18"/>
      <c r="E33" s="72" t="s">
        <v>466</v>
      </c>
      <c r="F33" s="8"/>
      <c r="G33" s="120" t="s">
        <v>493</v>
      </c>
      <c r="H33" s="146"/>
      <c r="I33" s="8"/>
      <c r="AJ33" s="3"/>
      <c r="AK33" s="2"/>
    </row>
    <row r="34" spans="1:37" ht="409.6" x14ac:dyDescent="0.3">
      <c r="A34" s="33" t="s">
        <v>384</v>
      </c>
      <c r="B34" s="65" t="s">
        <v>317</v>
      </c>
      <c r="C34" s="19" t="s">
        <v>820</v>
      </c>
      <c r="D34" s="18"/>
      <c r="E34" s="72" t="s">
        <v>466</v>
      </c>
      <c r="F34" s="8"/>
      <c r="G34" s="120" t="s">
        <v>493</v>
      </c>
      <c r="H34" s="146"/>
      <c r="I34" s="8"/>
      <c r="AJ34" s="3"/>
      <c r="AK34" s="2"/>
    </row>
    <row r="35" spans="1:37" ht="390" x14ac:dyDescent="0.3">
      <c r="A35" s="33" t="s">
        <v>384</v>
      </c>
      <c r="B35" s="65" t="s">
        <v>142</v>
      </c>
      <c r="C35" s="19" t="s">
        <v>821</v>
      </c>
      <c r="D35" s="18"/>
      <c r="E35" s="72" t="s">
        <v>466</v>
      </c>
      <c r="F35" s="8"/>
      <c r="G35" s="120" t="s">
        <v>493</v>
      </c>
      <c r="H35" s="146"/>
      <c r="I35" s="8"/>
      <c r="AJ35" s="3"/>
      <c r="AK35" s="2"/>
    </row>
    <row r="36" spans="1:37" ht="409.6" x14ac:dyDescent="0.3">
      <c r="A36" s="33" t="s">
        <v>384</v>
      </c>
      <c r="B36" s="65" t="s">
        <v>346</v>
      </c>
      <c r="C36" s="19" t="s">
        <v>824</v>
      </c>
      <c r="D36" s="11"/>
      <c r="E36" s="72" t="s">
        <v>466</v>
      </c>
      <c r="F36" s="8"/>
      <c r="G36" s="120" t="s">
        <v>493</v>
      </c>
      <c r="H36" s="146"/>
      <c r="I36" s="8"/>
      <c r="AJ36" s="3"/>
      <c r="AK36" s="2"/>
    </row>
    <row r="37" spans="1:37" ht="78" x14ac:dyDescent="0.3">
      <c r="A37" s="33"/>
      <c r="B37" s="65" t="s">
        <v>348</v>
      </c>
      <c r="C37" s="19" t="s">
        <v>825</v>
      </c>
      <c r="D37" s="11"/>
      <c r="E37" s="72" t="s">
        <v>466</v>
      </c>
      <c r="F37" s="8"/>
      <c r="G37" s="120">
        <f>(COUNTIF(G38:G40, "Oui")/COUNTA(G38:G40))*100</f>
        <v>0</v>
      </c>
      <c r="H37" s="146"/>
      <c r="I37" s="8"/>
      <c r="AJ37" s="3"/>
      <c r="AK37" s="2"/>
    </row>
    <row r="38" spans="1:37" ht="409.6" x14ac:dyDescent="0.3">
      <c r="A38" s="33"/>
      <c r="B38" s="65" t="s">
        <v>822</v>
      </c>
      <c r="C38" s="19" t="s">
        <v>826</v>
      </c>
      <c r="D38" s="11"/>
      <c r="E38" s="72" t="s">
        <v>466</v>
      </c>
      <c r="F38" s="8"/>
      <c r="G38" s="120" t="e">
        <f>(COUNTIF(G40:G40, "Oui")/COUNTA(G40:G40))*100</f>
        <v>#DIV/0!</v>
      </c>
      <c r="H38" s="146"/>
      <c r="I38" s="8"/>
      <c r="AJ38" s="3"/>
      <c r="AK38" s="2"/>
    </row>
    <row r="39" spans="1:37" ht="171.6" x14ac:dyDescent="0.3">
      <c r="A39" s="33"/>
      <c r="B39" s="65" t="s">
        <v>823</v>
      </c>
      <c r="C39" s="19" t="s">
        <v>827</v>
      </c>
      <c r="D39" s="11"/>
      <c r="E39" s="72" t="s">
        <v>466</v>
      </c>
      <c r="F39" s="8"/>
      <c r="G39" s="120" t="e">
        <f>(COUNTIF(G40:G42, "Oui")/COUNTA(G40:G42))*100</f>
        <v>#DIV/0!</v>
      </c>
      <c r="H39" s="146"/>
      <c r="I39" s="8"/>
      <c r="AJ39" s="3"/>
      <c r="AK39" s="2"/>
    </row>
    <row r="107" spans="6:7" x14ac:dyDescent="0.3">
      <c r="F107" s="1"/>
      <c r="G107" s="1"/>
    </row>
    <row r="108" spans="6:7" x14ac:dyDescent="0.3">
      <c r="F108" s="3"/>
      <c r="G108" s="2"/>
    </row>
    <row r="109" spans="6:7" x14ac:dyDescent="0.3">
      <c r="F109" s="3"/>
      <c r="G109" s="2"/>
    </row>
    <row r="110" spans="6:7" x14ac:dyDescent="0.3">
      <c r="F110" s="3"/>
      <c r="G110" s="2"/>
    </row>
    <row r="111" spans="6:7" x14ac:dyDescent="0.3">
      <c r="F111" s="3"/>
      <c r="G111" s="2"/>
    </row>
    <row r="112" spans="6:7" x14ac:dyDescent="0.3">
      <c r="F112" s="3"/>
      <c r="G112" s="2"/>
    </row>
    <row r="113" spans="6:7" x14ac:dyDescent="0.3">
      <c r="F113" s="3"/>
      <c r="G113" s="2"/>
    </row>
  </sheetData>
  <phoneticPr fontId="4" type="noConversion"/>
  <conditionalFormatting sqref="E3:E39">
    <cfRule type="containsText" dxfId="228" priority="73" operator="containsText" text="Non">
      <formula>NOT(ISERROR(SEARCH("Non",E3)))</formula>
    </cfRule>
    <cfRule type="containsText" dxfId="227" priority="74" operator="containsText" text="Partiellement">
      <formula>NOT(ISERROR(SEARCH("Partiellement",E3)))</formula>
    </cfRule>
    <cfRule type="containsText" dxfId="226" priority="75" operator="containsText" text="Oui">
      <formula>NOT(ISERROR(SEARCH("Oui",E3)))</formula>
    </cfRule>
  </conditionalFormatting>
  <conditionalFormatting sqref="G2">
    <cfRule type="cellIs" dxfId="225" priority="56" operator="greaterThan">
      <formula>75</formula>
    </cfRule>
    <cfRule type="cellIs" dxfId="224" priority="57" operator="between">
      <formula>50</formula>
      <formula>75</formula>
    </cfRule>
    <cfRule type="cellIs" dxfId="223" priority="58" operator="between">
      <formula>25</formula>
      <formula>50</formula>
    </cfRule>
    <cfRule type="cellIs" dxfId="222" priority="59" operator="lessThan">
      <formula>25</formula>
    </cfRule>
    <cfRule type="cellIs" dxfId="221" priority="60" operator="between">
      <formula>0</formula>
      <formula>"24.9"</formula>
    </cfRule>
  </conditionalFormatting>
  <conditionalFormatting sqref="G3:G39">
    <cfRule type="containsText" dxfId="220" priority="67" operator="containsText" text="Partiellement">
      <formula>NOT(ISERROR(SEARCH("Partiellement",G3)))</formula>
    </cfRule>
    <cfRule type="containsText" dxfId="219" priority="68" operator="containsText" text="Non Conforme">
      <formula>NOT(ISERROR(SEARCH("Non Conforme",G3)))</formula>
    </cfRule>
    <cfRule type="containsText" dxfId="218" priority="69" operator="containsText" text="Conforme">
      <formula>NOT(ISERROR(SEARCH("Conforme",G3)))</formula>
    </cfRule>
    <cfRule type="containsText" dxfId="217" priority="70" operator="containsText" text="Non">
      <formula>NOT(ISERROR(SEARCH("Non",G3)))</formula>
    </cfRule>
    <cfRule type="containsText" dxfId="216" priority="71" operator="containsText" text="Partiellement">
      <formula>NOT(ISERROR(SEARCH("Partiellement",G3)))</formula>
    </cfRule>
    <cfRule type="containsText" dxfId="215" priority="72" operator="containsText" text="Oui">
      <formula>NOT(ISERROR(SEARCH("Oui",G3)))</formula>
    </cfRule>
  </conditionalFormatting>
  <conditionalFormatting sqref="H2">
    <cfRule type="containsText" dxfId="214" priority="30" operator="containsText" text="Non Conforme">
      <formula>NOT(ISERROR(SEARCH("Non Conforme",H2)))</formula>
    </cfRule>
    <cfRule type="containsText" dxfId="213" priority="31" operator="containsText" text="Conforme">
      <formula>NOT(ISERROR(SEARCH("Conforme",H2)))</formula>
    </cfRule>
    <cfRule type="containsText" dxfId="212" priority="32" operator="containsText" text="Partiellement">
      <formula>NOT(ISERROR(SEARCH("Partiellement",H2)))</formula>
    </cfRule>
    <cfRule type="containsText" dxfId="211" priority="33" operator="containsText" text="Non Conforme">
      <formula>NOT(ISERROR(SEARCH("Non Conforme",H2)))</formula>
    </cfRule>
    <cfRule type="containsText" dxfId="210" priority="34" operator="containsText" text="Conforme">
      <formula>NOT(ISERROR(SEARCH("Conforme",H2)))</formula>
    </cfRule>
    <cfRule type="containsText" dxfId="209" priority="35" operator="containsText" text="Non">
      <formula>NOT(ISERROR(SEARCH("Non",H2)))</formula>
    </cfRule>
    <cfRule type="containsText" dxfId="208" priority="36" operator="containsText" text="Partiellement">
      <formula>NOT(ISERROR(SEARCH("Partiellement",H2)))</formula>
    </cfRule>
    <cfRule type="containsText" dxfId="207" priority="37" operator="containsText" text="Oui">
      <formula>NOT(ISERROR(SEARCH("Oui",H2)))</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0C91-95F3-4145-BDEE-FA3E6B102178}">
  <sheetPr>
    <tabColor theme="4" tint="-0.249977111117893"/>
  </sheetPr>
  <dimension ref="A1:O283"/>
  <sheetViews>
    <sheetView topLeftCell="A4" zoomScale="70" zoomScaleNormal="100" workbookViewId="0">
      <selection activeCell="C4" sqref="C4"/>
    </sheetView>
  </sheetViews>
  <sheetFormatPr defaultColWidth="8.88671875" defaultRowHeight="14.4" x14ac:dyDescent="0.3"/>
  <cols>
    <col min="1" max="1" width="16.44140625" customWidth="1"/>
    <col min="2" max="2" width="18.21875" customWidth="1"/>
    <col min="3" max="3" width="207.77734375" customWidth="1"/>
    <col min="4" max="4" width="255.33203125" customWidth="1"/>
    <col min="5" max="5" width="24.33203125" customWidth="1"/>
    <col min="6" max="6" width="72.21875" customWidth="1"/>
    <col min="7" max="7" width="61.44140625" customWidth="1"/>
    <col min="8" max="8" width="44.88671875" customWidth="1"/>
    <col min="9" max="9" width="123.5546875" customWidth="1"/>
  </cols>
  <sheetData>
    <row r="1" spans="1:15" s="61" customFormat="1" ht="32.4" x14ac:dyDescent="0.6">
      <c r="A1" s="117" t="s">
        <v>0</v>
      </c>
      <c r="B1" s="117" t="s">
        <v>7</v>
      </c>
      <c r="C1" s="117" t="s">
        <v>1</v>
      </c>
      <c r="D1" s="117" t="s">
        <v>372</v>
      </c>
      <c r="E1" s="117" t="s">
        <v>371</v>
      </c>
      <c r="F1" s="117" t="s">
        <v>4</v>
      </c>
      <c r="G1" s="117" t="s">
        <v>767</v>
      </c>
      <c r="H1" s="117" t="s">
        <v>766</v>
      </c>
      <c r="I1" s="118" t="s">
        <v>5</v>
      </c>
    </row>
    <row r="2" spans="1:15" s="24" customFormat="1" ht="25.8" x14ac:dyDescent="0.3">
      <c r="A2" s="34" t="s">
        <v>6</v>
      </c>
      <c r="B2" s="50" t="s">
        <v>6</v>
      </c>
      <c r="C2" s="48"/>
      <c r="D2" s="48"/>
      <c r="E2" s="49"/>
      <c r="F2" s="49"/>
      <c r="G2" s="152" t="s">
        <v>768</v>
      </c>
      <c r="H2" s="146"/>
      <c r="I2" s="130"/>
    </row>
    <row r="3" spans="1:15" ht="15.6" hidden="1" x14ac:dyDescent="0.3">
      <c r="A3" s="34" t="s">
        <v>6</v>
      </c>
      <c r="B3" s="9" t="s">
        <v>493</v>
      </c>
      <c r="C3" s="107"/>
      <c r="D3" s="107"/>
      <c r="E3" s="108" t="s">
        <v>467</v>
      </c>
      <c r="F3" s="107" t="s">
        <v>756</v>
      </c>
      <c r="G3" s="107"/>
      <c r="H3" s="146"/>
      <c r="I3" s="107"/>
      <c r="J3" s="5"/>
      <c r="K3" s="5"/>
      <c r="L3" s="5"/>
      <c r="M3" s="5"/>
      <c r="N3" s="5"/>
      <c r="O3" s="5"/>
    </row>
    <row r="4" spans="1:15" ht="25.8" x14ac:dyDescent="0.3">
      <c r="A4" s="34" t="s">
        <v>119</v>
      </c>
      <c r="B4" s="50" t="s">
        <v>119</v>
      </c>
      <c r="C4" s="109"/>
      <c r="D4" s="109"/>
      <c r="E4" s="109"/>
      <c r="F4" s="109"/>
      <c r="G4" s="129">
        <f>(COUNTIF(G5:G5, "Oui")/COUNTA(G5:G5))*100</f>
        <v>0</v>
      </c>
      <c r="H4" s="120"/>
      <c r="I4" s="131"/>
      <c r="J4" s="5"/>
      <c r="K4" s="5"/>
      <c r="L4" s="5"/>
      <c r="M4" s="5"/>
      <c r="N4" s="5"/>
      <c r="O4" s="5"/>
    </row>
    <row r="5" spans="1:15" ht="31.2" hidden="1" x14ac:dyDescent="0.3">
      <c r="A5" s="34" t="s">
        <v>119</v>
      </c>
      <c r="B5" s="68" t="s">
        <v>178</v>
      </c>
      <c r="C5" s="110" t="s">
        <v>229</v>
      </c>
      <c r="D5" s="17"/>
      <c r="E5" s="108" t="s">
        <v>468</v>
      </c>
      <c r="F5" s="107"/>
      <c r="G5" s="120" t="s">
        <v>493</v>
      </c>
      <c r="H5" s="146"/>
      <c r="I5" s="107"/>
      <c r="J5" s="5"/>
      <c r="K5" s="5"/>
      <c r="L5" s="5"/>
      <c r="M5" s="5"/>
      <c r="N5" s="5"/>
      <c r="O5" s="5"/>
    </row>
    <row r="6" spans="1:15" ht="25.8" x14ac:dyDescent="0.3">
      <c r="A6" s="34" t="s">
        <v>241</v>
      </c>
      <c r="B6" s="50" t="s">
        <v>241</v>
      </c>
      <c r="C6" s="86"/>
      <c r="D6" s="86"/>
      <c r="E6" s="86"/>
      <c r="F6" s="109"/>
      <c r="G6" s="153" t="s">
        <v>769</v>
      </c>
      <c r="H6" s="120"/>
      <c r="I6" s="131"/>
      <c r="J6" s="5"/>
      <c r="K6" s="5"/>
      <c r="L6" s="5"/>
      <c r="M6" s="5"/>
      <c r="N6" s="5"/>
      <c r="O6" s="5"/>
    </row>
    <row r="7" spans="1:15" ht="15.6" hidden="1" x14ac:dyDescent="0.3">
      <c r="A7" s="34" t="s">
        <v>241</v>
      </c>
      <c r="B7" s="51" t="s">
        <v>493</v>
      </c>
      <c r="C7" s="111"/>
      <c r="D7" s="35"/>
      <c r="E7" s="108" t="s">
        <v>467</v>
      </c>
      <c r="F7" s="111" t="s">
        <v>755</v>
      </c>
      <c r="G7" s="111" t="s">
        <v>493</v>
      </c>
      <c r="H7" s="146"/>
      <c r="I7" s="111"/>
      <c r="J7" s="24"/>
      <c r="K7" s="24"/>
      <c r="L7" s="24"/>
      <c r="M7" s="24"/>
      <c r="N7" s="24"/>
      <c r="O7" s="5"/>
    </row>
    <row r="8" spans="1:15" ht="25.8" x14ac:dyDescent="0.3">
      <c r="A8" s="34" t="s">
        <v>242</v>
      </c>
      <c r="B8" s="50" t="s">
        <v>242</v>
      </c>
      <c r="C8" s="109"/>
      <c r="D8" s="86"/>
      <c r="E8" s="86"/>
      <c r="F8" s="109"/>
      <c r="G8" s="129">
        <f>(COUNTIF(G9:G15, "Oui")/COUNTA(G9:G15))*100</f>
        <v>16.666666666666664</v>
      </c>
      <c r="H8" s="120"/>
      <c r="I8" s="131"/>
      <c r="J8" s="5"/>
      <c r="K8" s="5"/>
      <c r="L8" s="5"/>
      <c r="M8" s="5"/>
      <c r="N8" s="5"/>
      <c r="O8" s="5"/>
    </row>
    <row r="9" spans="1:15" ht="202.8" hidden="1" x14ac:dyDescent="0.3">
      <c r="A9" s="34" t="s">
        <v>242</v>
      </c>
      <c r="B9" s="69" t="s">
        <v>207</v>
      </c>
      <c r="C9" s="110" t="s">
        <v>230</v>
      </c>
      <c r="D9" s="17" t="s">
        <v>214</v>
      </c>
      <c r="E9" s="108" t="s">
        <v>468</v>
      </c>
      <c r="F9" s="107"/>
      <c r="G9" s="120" t="s">
        <v>466</v>
      </c>
      <c r="H9" s="146"/>
      <c r="I9" s="107"/>
      <c r="J9" s="5"/>
      <c r="K9" s="5"/>
      <c r="L9" s="5"/>
      <c r="M9" s="5"/>
      <c r="N9" s="5"/>
      <c r="O9" s="5"/>
    </row>
    <row r="10" spans="1:15" ht="282.60000000000002" hidden="1" customHeight="1" x14ac:dyDescent="0.3">
      <c r="A10" s="34" t="s">
        <v>242</v>
      </c>
      <c r="B10" s="70" t="s">
        <v>212</v>
      </c>
      <c r="C10" s="110" t="s">
        <v>231</v>
      </c>
      <c r="D10" s="17" t="s">
        <v>215</v>
      </c>
      <c r="E10" s="108" t="s">
        <v>468</v>
      </c>
      <c r="F10" s="107"/>
      <c r="G10" s="120" t="s">
        <v>493</v>
      </c>
      <c r="H10" s="146"/>
      <c r="I10" s="107"/>
      <c r="J10" s="5"/>
      <c r="K10" s="5"/>
      <c r="L10" s="5"/>
      <c r="M10" s="5"/>
      <c r="N10" s="5"/>
      <c r="O10" s="5"/>
    </row>
    <row r="11" spans="1:15" ht="409.6" hidden="1" x14ac:dyDescent="0.3">
      <c r="A11" s="34" t="s">
        <v>242</v>
      </c>
      <c r="B11" s="70" t="s">
        <v>209</v>
      </c>
      <c r="C11" s="110" t="s">
        <v>120</v>
      </c>
      <c r="D11" s="17" t="s">
        <v>216</v>
      </c>
      <c r="E11" s="108" t="s">
        <v>468</v>
      </c>
      <c r="F11" s="107"/>
      <c r="G11" s="120" t="s">
        <v>493</v>
      </c>
      <c r="H11" s="146"/>
      <c r="I11" s="107"/>
      <c r="J11" s="5"/>
      <c r="K11" s="5"/>
      <c r="L11" s="5"/>
      <c r="M11" s="5"/>
      <c r="N11" s="5"/>
      <c r="O11" s="5"/>
    </row>
    <row r="12" spans="1:15" ht="202.8" hidden="1" x14ac:dyDescent="0.3">
      <c r="A12" s="34" t="s">
        <v>242</v>
      </c>
      <c r="B12" s="66" t="s">
        <v>210</v>
      </c>
      <c r="C12" s="17" t="s">
        <v>232</v>
      </c>
      <c r="D12" s="17" t="s">
        <v>217</v>
      </c>
      <c r="E12" s="108" t="s">
        <v>468</v>
      </c>
      <c r="F12" s="107"/>
      <c r="G12" s="120" t="s">
        <v>493</v>
      </c>
      <c r="H12" s="146"/>
      <c r="I12" s="107"/>
      <c r="J12" s="5"/>
      <c r="K12" s="5"/>
      <c r="L12" s="5"/>
      <c r="M12" s="5"/>
      <c r="N12" s="5"/>
      <c r="O12" s="5"/>
    </row>
    <row r="13" spans="1:15" ht="296.39999999999998" hidden="1" x14ac:dyDescent="0.3">
      <c r="A13" s="34" t="s">
        <v>242</v>
      </c>
      <c r="B13" s="66" t="s">
        <v>175</v>
      </c>
      <c r="C13" s="17" t="s">
        <v>373</v>
      </c>
      <c r="D13" s="17" t="s">
        <v>723</v>
      </c>
      <c r="E13" s="108" t="s">
        <v>468</v>
      </c>
      <c r="F13" s="107"/>
      <c r="G13" s="120" t="s">
        <v>493</v>
      </c>
      <c r="H13" s="146"/>
      <c r="I13" s="107"/>
      <c r="J13" s="5"/>
      <c r="K13" s="5"/>
      <c r="L13" s="5"/>
      <c r="M13" s="5"/>
      <c r="N13" s="5"/>
      <c r="O13" s="5"/>
    </row>
    <row r="14" spans="1:15" ht="187.2" hidden="1" x14ac:dyDescent="0.3">
      <c r="A14" s="34" t="s">
        <v>242</v>
      </c>
      <c r="B14" s="66" t="s">
        <v>213</v>
      </c>
      <c r="C14" s="17" t="s">
        <v>233</v>
      </c>
      <c r="D14" s="17" t="s">
        <v>218</v>
      </c>
      <c r="E14" s="108" t="s">
        <v>468</v>
      </c>
      <c r="F14" s="107"/>
      <c r="G14" s="120" t="s">
        <v>493</v>
      </c>
      <c r="H14" s="146"/>
      <c r="I14" s="107"/>
      <c r="J14" s="5"/>
      <c r="K14" s="5"/>
      <c r="L14" s="5"/>
      <c r="M14" s="5"/>
      <c r="N14" s="5"/>
      <c r="O14" s="5"/>
    </row>
    <row r="15" spans="1:15" ht="409.6" hidden="1" x14ac:dyDescent="0.3">
      <c r="A15" s="34" t="s">
        <v>242</v>
      </c>
      <c r="B15" s="66" t="s">
        <v>141</v>
      </c>
      <c r="C15" s="17" t="s">
        <v>234</v>
      </c>
      <c r="D15" s="17" t="s">
        <v>219</v>
      </c>
      <c r="E15" s="108" t="s">
        <v>468</v>
      </c>
      <c r="F15" s="107"/>
      <c r="G15" s="120"/>
      <c r="H15" s="146"/>
      <c r="I15" s="107"/>
      <c r="J15" s="5"/>
      <c r="K15" s="5"/>
      <c r="L15" s="5"/>
      <c r="M15" s="5"/>
      <c r="N15" s="5"/>
      <c r="O15" s="5"/>
    </row>
    <row r="16" spans="1:15" ht="25.8" x14ac:dyDescent="0.3">
      <c r="A16" s="34" t="s">
        <v>243</v>
      </c>
      <c r="B16" s="44" t="s">
        <v>243</v>
      </c>
      <c r="C16" s="86"/>
      <c r="D16" s="86"/>
      <c r="E16" s="86"/>
      <c r="F16" s="109"/>
      <c r="G16" s="129">
        <f>(COUNTIF(G17:G34, "Oui")/COUNTA(G17:G34))*100</f>
        <v>0</v>
      </c>
      <c r="H16" s="120"/>
      <c r="I16" s="131"/>
      <c r="J16" s="5"/>
      <c r="K16" s="5"/>
      <c r="L16" s="5"/>
      <c r="M16" s="5"/>
      <c r="N16" s="5"/>
      <c r="O16" s="5"/>
    </row>
    <row r="17" spans="1:15" ht="78" hidden="1" x14ac:dyDescent="0.3">
      <c r="A17" s="34" t="s">
        <v>243</v>
      </c>
      <c r="B17" s="66" t="s">
        <v>205</v>
      </c>
      <c r="C17" s="17" t="s">
        <v>656</v>
      </c>
      <c r="D17" s="17" t="s">
        <v>223</v>
      </c>
      <c r="E17" s="108" t="s">
        <v>468</v>
      </c>
      <c r="F17" s="107"/>
      <c r="G17" s="120" t="s">
        <v>493</v>
      </c>
      <c r="H17" s="146"/>
      <c r="I17" s="107"/>
      <c r="J17" s="5"/>
      <c r="K17" s="5"/>
      <c r="L17" s="5"/>
      <c r="M17" s="5"/>
      <c r="N17" s="5"/>
      <c r="O17" s="5"/>
    </row>
    <row r="18" spans="1:15" ht="46.8" hidden="1" x14ac:dyDescent="0.3">
      <c r="A18" s="34" t="s">
        <v>243</v>
      </c>
      <c r="B18" s="66" t="s">
        <v>200</v>
      </c>
      <c r="C18" s="17" t="s">
        <v>657</v>
      </c>
      <c r="D18" s="17" t="s">
        <v>725</v>
      </c>
      <c r="E18" s="108" t="s">
        <v>468</v>
      </c>
      <c r="F18" s="107"/>
      <c r="G18" s="120" t="s">
        <v>493</v>
      </c>
      <c r="H18" s="146"/>
      <c r="I18" s="107"/>
      <c r="J18" s="5"/>
      <c r="K18" s="5"/>
      <c r="L18" s="5"/>
      <c r="M18" s="5"/>
      <c r="N18" s="5"/>
      <c r="O18" s="5"/>
    </row>
    <row r="19" spans="1:15" ht="93.6" hidden="1" x14ac:dyDescent="0.3">
      <c r="A19" s="34" t="s">
        <v>243</v>
      </c>
      <c r="B19" s="66" t="s">
        <v>203</v>
      </c>
      <c r="C19" s="17" t="s">
        <v>658</v>
      </c>
      <c r="D19" s="17" t="s">
        <v>724</v>
      </c>
      <c r="E19" s="108" t="s">
        <v>468</v>
      </c>
      <c r="F19" s="107"/>
      <c r="G19" s="120" t="s">
        <v>493</v>
      </c>
      <c r="H19" s="146"/>
      <c r="I19" s="107"/>
      <c r="J19" s="5"/>
      <c r="K19" s="5"/>
      <c r="L19" s="5"/>
      <c r="M19" s="5"/>
      <c r="N19" s="5"/>
      <c r="O19" s="5"/>
    </row>
    <row r="20" spans="1:15" ht="337.2" hidden="1" customHeight="1" x14ac:dyDescent="0.3">
      <c r="A20" s="34" t="s">
        <v>243</v>
      </c>
      <c r="B20" s="66" t="s">
        <v>206</v>
      </c>
      <c r="C20" s="17" t="s">
        <v>659</v>
      </c>
      <c r="D20" s="17" t="s">
        <v>224</v>
      </c>
      <c r="E20" s="108" t="s">
        <v>468</v>
      </c>
      <c r="F20" s="107"/>
      <c r="G20" s="120" t="s">
        <v>493</v>
      </c>
      <c r="H20" s="146"/>
      <c r="I20" s="107"/>
      <c r="J20" s="5"/>
      <c r="K20" s="5"/>
      <c r="L20" s="5"/>
      <c r="M20" s="5"/>
      <c r="N20" s="5"/>
      <c r="O20" s="5"/>
    </row>
    <row r="21" spans="1:15" ht="265.2" hidden="1" x14ac:dyDescent="0.3">
      <c r="A21" s="34" t="s">
        <v>243</v>
      </c>
      <c r="B21" s="66" t="s">
        <v>220</v>
      </c>
      <c r="C21" s="17" t="s">
        <v>674</v>
      </c>
      <c r="D21" s="17" t="s">
        <v>675</v>
      </c>
      <c r="E21" s="108" t="s">
        <v>468</v>
      </c>
      <c r="F21" s="107"/>
      <c r="G21" s="120" t="s">
        <v>493</v>
      </c>
      <c r="H21" s="146"/>
      <c r="I21" s="107"/>
      <c r="J21" s="5"/>
      <c r="K21" s="5"/>
      <c r="L21" s="5"/>
      <c r="M21" s="5"/>
      <c r="N21" s="5"/>
      <c r="O21" s="5"/>
    </row>
    <row r="22" spans="1:15" ht="409.6" hidden="1" x14ac:dyDescent="0.3">
      <c r="A22" s="34" t="s">
        <v>243</v>
      </c>
      <c r="B22" s="66" t="s">
        <v>338</v>
      </c>
      <c r="C22" s="17" t="s">
        <v>660</v>
      </c>
      <c r="D22" s="17" t="s">
        <v>676</v>
      </c>
      <c r="E22" s="108" t="s">
        <v>468</v>
      </c>
      <c r="F22" s="107"/>
      <c r="G22" s="120" t="s">
        <v>493</v>
      </c>
      <c r="H22" s="146"/>
      <c r="I22" s="107"/>
      <c r="J22" s="5"/>
      <c r="K22" s="5"/>
      <c r="L22" s="5"/>
      <c r="M22" s="5"/>
      <c r="N22" s="5"/>
      <c r="O22" s="5"/>
    </row>
    <row r="23" spans="1:15" ht="409.6" hidden="1" x14ac:dyDescent="0.3">
      <c r="A23" s="34" t="s">
        <v>243</v>
      </c>
      <c r="B23" s="66" t="s">
        <v>340</v>
      </c>
      <c r="C23" s="17" t="s">
        <v>661</v>
      </c>
      <c r="D23" s="17" t="s">
        <v>677</v>
      </c>
      <c r="E23" s="108" t="s">
        <v>468</v>
      </c>
      <c r="F23" s="107"/>
      <c r="G23" s="120" t="s">
        <v>493</v>
      </c>
      <c r="H23" s="146"/>
      <c r="I23" s="107"/>
      <c r="J23" s="5"/>
      <c r="K23" s="5"/>
      <c r="L23" s="5"/>
      <c r="M23" s="5"/>
      <c r="N23" s="5"/>
      <c r="O23" s="5"/>
    </row>
    <row r="24" spans="1:15" ht="187.2" hidden="1" x14ac:dyDescent="0.3">
      <c r="A24" s="34" t="s">
        <v>243</v>
      </c>
      <c r="B24" s="66" t="s">
        <v>287</v>
      </c>
      <c r="C24" s="17" t="s">
        <v>662</v>
      </c>
      <c r="D24" s="17" t="s">
        <v>726</v>
      </c>
      <c r="E24" s="108" t="s">
        <v>468</v>
      </c>
      <c r="F24" s="107"/>
      <c r="G24" s="120" t="s">
        <v>493</v>
      </c>
      <c r="H24" s="146"/>
      <c r="I24" s="107"/>
      <c r="J24" s="5"/>
      <c r="K24" s="5"/>
      <c r="L24" s="5"/>
      <c r="M24" s="5"/>
      <c r="N24" s="5"/>
      <c r="O24" s="5"/>
    </row>
    <row r="25" spans="1:15" ht="23.4" hidden="1" x14ac:dyDescent="0.3">
      <c r="A25" s="34" t="s">
        <v>243</v>
      </c>
      <c r="B25" s="66" t="s">
        <v>221</v>
      </c>
      <c r="C25" s="17" t="s">
        <v>663</v>
      </c>
      <c r="D25" s="17" t="s">
        <v>727</v>
      </c>
      <c r="E25" s="108" t="s">
        <v>468</v>
      </c>
      <c r="F25" s="107"/>
      <c r="G25" s="120" t="s">
        <v>493</v>
      </c>
      <c r="H25" s="146"/>
      <c r="I25" s="107"/>
      <c r="J25" s="5"/>
      <c r="K25" s="5"/>
      <c r="L25" s="5"/>
      <c r="M25" s="5"/>
      <c r="N25" s="5"/>
      <c r="O25" s="5"/>
    </row>
    <row r="26" spans="1:15" ht="409.6" hidden="1" x14ac:dyDescent="0.3">
      <c r="A26" s="34" t="s">
        <v>243</v>
      </c>
      <c r="B26" s="66" t="s">
        <v>292</v>
      </c>
      <c r="C26" s="17" t="s">
        <v>664</v>
      </c>
      <c r="D26" s="17" t="s">
        <v>678</v>
      </c>
      <c r="E26" s="108" t="s">
        <v>468</v>
      </c>
      <c r="F26" s="107"/>
      <c r="G26" s="120" t="s">
        <v>493</v>
      </c>
      <c r="H26" s="146"/>
      <c r="I26" s="107"/>
      <c r="J26" s="5"/>
      <c r="K26" s="5"/>
      <c r="L26" s="5"/>
      <c r="M26" s="5"/>
      <c r="N26" s="5"/>
      <c r="O26" s="5"/>
    </row>
    <row r="27" spans="1:15" ht="327.60000000000002" hidden="1" x14ac:dyDescent="0.3">
      <c r="A27" s="34" t="s">
        <v>243</v>
      </c>
      <c r="B27" s="66" t="s">
        <v>207</v>
      </c>
      <c r="C27" s="17" t="s">
        <v>665</v>
      </c>
      <c r="D27" s="17" t="s">
        <v>679</v>
      </c>
      <c r="E27" s="108" t="s">
        <v>468</v>
      </c>
      <c r="F27" s="107"/>
      <c r="G27" s="120" t="s">
        <v>493</v>
      </c>
      <c r="H27" s="146"/>
      <c r="I27" s="107"/>
      <c r="J27" s="5"/>
      <c r="K27" s="5"/>
      <c r="L27" s="5"/>
      <c r="M27" s="5"/>
      <c r="N27" s="5"/>
      <c r="O27" s="5"/>
    </row>
    <row r="28" spans="1:15" ht="109.2" hidden="1" x14ac:dyDescent="0.3">
      <c r="A28" s="34" t="s">
        <v>243</v>
      </c>
      <c r="B28" s="66" t="s">
        <v>212</v>
      </c>
      <c r="C28" s="17" t="s">
        <v>666</v>
      </c>
      <c r="D28" s="17" t="s">
        <v>728</v>
      </c>
      <c r="E28" s="108" t="s">
        <v>468</v>
      </c>
      <c r="F28" s="107"/>
      <c r="G28" s="120" t="s">
        <v>493</v>
      </c>
      <c r="H28" s="146"/>
      <c r="I28" s="107"/>
    </row>
    <row r="29" spans="1:15" ht="409.6" hidden="1" x14ac:dyDescent="0.3">
      <c r="A29" s="34" t="s">
        <v>243</v>
      </c>
      <c r="B29" s="66" t="s">
        <v>175</v>
      </c>
      <c r="C29" s="17" t="s">
        <v>667</v>
      </c>
      <c r="D29" s="17" t="s">
        <v>680</v>
      </c>
      <c r="E29" s="108" t="s">
        <v>468</v>
      </c>
      <c r="F29" s="107"/>
      <c r="G29" s="120" t="s">
        <v>493</v>
      </c>
      <c r="H29" s="146"/>
      <c r="I29" s="107"/>
    </row>
    <row r="30" spans="1:15" ht="171.6" hidden="1" x14ac:dyDescent="0.3">
      <c r="A30" s="34" t="s">
        <v>243</v>
      </c>
      <c r="B30" s="66" t="s">
        <v>176</v>
      </c>
      <c r="C30" s="17" t="s">
        <v>668</v>
      </c>
      <c r="D30" s="17" t="s">
        <v>729</v>
      </c>
      <c r="E30" s="108" t="s">
        <v>468</v>
      </c>
      <c r="F30" s="107"/>
      <c r="G30" s="120" t="s">
        <v>493</v>
      </c>
      <c r="H30" s="146"/>
      <c r="I30" s="107"/>
    </row>
    <row r="31" spans="1:15" ht="280.8" hidden="1" x14ac:dyDescent="0.3">
      <c r="A31" s="34" t="s">
        <v>243</v>
      </c>
      <c r="B31" s="66" t="s">
        <v>178</v>
      </c>
      <c r="C31" s="17" t="s">
        <v>669</v>
      </c>
      <c r="D31" s="17" t="s">
        <v>730</v>
      </c>
      <c r="E31" s="108" t="s">
        <v>468</v>
      </c>
      <c r="F31" s="107"/>
      <c r="G31" s="120" t="s">
        <v>493</v>
      </c>
      <c r="H31" s="146"/>
      <c r="I31" s="107"/>
    </row>
    <row r="32" spans="1:15" ht="171.6" hidden="1" x14ac:dyDescent="0.3">
      <c r="A32" s="34" t="s">
        <v>243</v>
      </c>
      <c r="B32" s="66" t="s">
        <v>604</v>
      </c>
      <c r="C32" s="17" t="s">
        <v>670</v>
      </c>
      <c r="D32" s="17" t="s">
        <v>731</v>
      </c>
      <c r="E32" s="108" t="s">
        <v>468</v>
      </c>
      <c r="F32" s="107"/>
      <c r="G32" s="120" t="s">
        <v>493</v>
      </c>
      <c r="H32" s="146"/>
      <c r="I32" s="107"/>
    </row>
    <row r="33" spans="1:9" ht="409.6" hidden="1" x14ac:dyDescent="0.3">
      <c r="A33" s="34" t="s">
        <v>243</v>
      </c>
      <c r="B33" s="66" t="s">
        <v>141</v>
      </c>
      <c r="C33" s="17" t="s">
        <v>671</v>
      </c>
      <c r="D33" s="17" t="s">
        <v>681</v>
      </c>
      <c r="E33" s="108" t="s">
        <v>468</v>
      </c>
      <c r="F33" s="107"/>
      <c r="G33" s="120" t="s">
        <v>493</v>
      </c>
      <c r="H33" s="146"/>
      <c r="I33" s="107"/>
    </row>
    <row r="34" spans="1:9" ht="140.4" hidden="1" x14ac:dyDescent="0.3">
      <c r="A34" s="34" t="s">
        <v>243</v>
      </c>
      <c r="B34" s="66" t="s">
        <v>672</v>
      </c>
      <c r="C34" s="17" t="s">
        <v>673</v>
      </c>
      <c r="D34" s="17" t="s">
        <v>740</v>
      </c>
      <c r="E34" s="108" t="s">
        <v>468</v>
      </c>
      <c r="F34" s="107"/>
      <c r="G34" s="120" t="s">
        <v>493</v>
      </c>
      <c r="H34" s="146"/>
      <c r="I34" s="107"/>
    </row>
    <row r="35" spans="1:9" ht="25.8" x14ac:dyDescent="0.3">
      <c r="A35" s="34" t="s">
        <v>273</v>
      </c>
      <c r="B35" s="52" t="s">
        <v>273</v>
      </c>
      <c r="C35" s="113"/>
      <c r="D35" s="113"/>
      <c r="E35" s="86"/>
      <c r="F35" s="114"/>
      <c r="G35" s="125">
        <f>(COUNTIF(G36:G41, "Oui")/COUNTA(G36:G41))*100</f>
        <v>100</v>
      </c>
      <c r="H35" s="120"/>
      <c r="I35" s="114"/>
    </row>
    <row r="36" spans="1:9" ht="234" hidden="1" x14ac:dyDescent="0.3">
      <c r="A36" s="34" t="s">
        <v>273</v>
      </c>
      <c r="B36" s="66" t="s">
        <v>143</v>
      </c>
      <c r="C36" s="17" t="s">
        <v>235</v>
      </c>
      <c r="D36" s="17" t="s">
        <v>613</v>
      </c>
      <c r="E36" s="108" t="s">
        <v>468</v>
      </c>
      <c r="F36" s="107"/>
      <c r="G36" s="120" t="s">
        <v>468</v>
      </c>
      <c r="H36" s="146"/>
      <c r="I36" s="107"/>
    </row>
    <row r="37" spans="1:9" ht="187.2" hidden="1" x14ac:dyDescent="0.3">
      <c r="A37" s="34" t="s">
        <v>273</v>
      </c>
      <c r="B37" s="66" t="s">
        <v>222</v>
      </c>
      <c r="C37" s="17" t="s">
        <v>236</v>
      </c>
      <c r="D37" s="17" t="s">
        <v>614</v>
      </c>
      <c r="E37" s="108" t="s">
        <v>468</v>
      </c>
      <c r="F37" s="107"/>
      <c r="G37" s="120"/>
      <c r="H37" s="146"/>
      <c r="I37" s="107"/>
    </row>
    <row r="38" spans="1:9" ht="409.6" hidden="1" x14ac:dyDescent="0.3">
      <c r="A38" s="34" t="s">
        <v>273</v>
      </c>
      <c r="B38" s="66" t="s">
        <v>225</v>
      </c>
      <c r="C38" s="17" t="s">
        <v>237</v>
      </c>
      <c r="D38" s="17" t="s">
        <v>615</v>
      </c>
      <c r="E38" s="108" t="s">
        <v>468</v>
      </c>
      <c r="F38" s="107"/>
      <c r="G38" s="120"/>
      <c r="H38" s="146"/>
      <c r="I38" s="107"/>
    </row>
    <row r="39" spans="1:9" ht="156" hidden="1" x14ac:dyDescent="0.3">
      <c r="A39" s="34" t="s">
        <v>273</v>
      </c>
      <c r="B39" s="66" t="s">
        <v>145</v>
      </c>
      <c r="C39" s="17" t="s">
        <v>238</v>
      </c>
      <c r="D39" s="17" t="s">
        <v>616</v>
      </c>
      <c r="E39" s="108" t="s">
        <v>468</v>
      </c>
      <c r="F39" s="107"/>
      <c r="G39" s="120"/>
      <c r="H39" s="146"/>
      <c r="I39" s="107"/>
    </row>
    <row r="40" spans="1:9" ht="409.6" hidden="1" x14ac:dyDescent="0.3">
      <c r="A40" s="34" t="s">
        <v>273</v>
      </c>
      <c r="B40" s="66" t="s">
        <v>226</v>
      </c>
      <c r="C40" s="17" t="s">
        <v>239</v>
      </c>
      <c r="D40" s="17" t="s">
        <v>227</v>
      </c>
      <c r="E40" s="108" t="s">
        <v>468</v>
      </c>
      <c r="F40" s="107"/>
      <c r="G40" s="120"/>
      <c r="H40" s="146"/>
      <c r="I40" s="107"/>
    </row>
    <row r="41" spans="1:9" ht="327.60000000000002" hidden="1" x14ac:dyDescent="0.3">
      <c r="A41" s="34" t="s">
        <v>273</v>
      </c>
      <c r="B41" s="66" t="s">
        <v>228</v>
      </c>
      <c r="C41" s="17" t="s">
        <v>240</v>
      </c>
      <c r="D41" s="17" t="s">
        <v>617</v>
      </c>
      <c r="E41" s="108" t="s">
        <v>564</v>
      </c>
      <c r="F41" s="107"/>
      <c r="G41" s="120"/>
      <c r="H41" s="146"/>
      <c r="I41" s="107"/>
    </row>
    <row r="42" spans="1:9" ht="25.8" x14ac:dyDescent="0.3">
      <c r="A42" s="34" t="s">
        <v>601</v>
      </c>
      <c r="B42" s="44" t="s">
        <v>601</v>
      </c>
      <c r="C42" s="115"/>
      <c r="D42" s="115"/>
      <c r="E42" s="115"/>
      <c r="F42" s="115"/>
      <c r="G42" s="125">
        <f>(COUNTIF(G43:G46, "Oui")/COUNTA(G43:G46))*100</f>
        <v>0</v>
      </c>
      <c r="H42" s="120"/>
      <c r="I42" s="115"/>
    </row>
    <row r="43" spans="1:9" ht="327.60000000000002" hidden="1" x14ac:dyDescent="0.3">
      <c r="A43" s="34" t="s">
        <v>601</v>
      </c>
      <c r="B43" s="70" t="s">
        <v>177</v>
      </c>
      <c r="C43" s="17" t="s">
        <v>619</v>
      </c>
      <c r="D43" s="17" t="s">
        <v>618</v>
      </c>
      <c r="E43" s="108" t="s">
        <v>468</v>
      </c>
      <c r="F43" s="107"/>
      <c r="G43" s="120" t="s">
        <v>493</v>
      </c>
      <c r="H43" s="146"/>
      <c r="I43" s="107"/>
    </row>
    <row r="44" spans="1:9" ht="374.4" hidden="1" x14ac:dyDescent="0.3">
      <c r="A44" s="34" t="s">
        <v>601</v>
      </c>
      <c r="B44" s="70" t="s">
        <v>178</v>
      </c>
      <c r="C44" s="17" t="s">
        <v>602</v>
      </c>
      <c r="D44" s="17" t="s">
        <v>620</v>
      </c>
      <c r="E44" s="108" t="s">
        <v>468</v>
      </c>
      <c r="F44" s="107"/>
      <c r="G44" s="120"/>
      <c r="H44" s="146"/>
      <c r="I44" s="107"/>
    </row>
    <row r="45" spans="1:9" ht="327.60000000000002" hidden="1" x14ac:dyDescent="0.3">
      <c r="A45" s="34" t="s">
        <v>601</v>
      </c>
      <c r="B45" s="70" t="s">
        <v>604</v>
      </c>
      <c r="C45" s="17" t="s">
        <v>603</v>
      </c>
      <c r="D45" s="17" t="s">
        <v>621</v>
      </c>
      <c r="E45" s="108" t="s">
        <v>468</v>
      </c>
      <c r="F45" s="107"/>
      <c r="G45" s="120"/>
      <c r="H45" s="146"/>
      <c r="I45" s="107"/>
    </row>
    <row r="46" spans="1:9" ht="140.4" hidden="1" x14ac:dyDescent="0.3">
      <c r="A46" s="34" t="s">
        <v>601</v>
      </c>
      <c r="B46" s="70" t="s">
        <v>605</v>
      </c>
      <c r="C46" s="17" t="s">
        <v>606</v>
      </c>
      <c r="D46" s="17" t="s">
        <v>622</v>
      </c>
      <c r="E46" s="108" t="s">
        <v>468</v>
      </c>
      <c r="F46" s="107"/>
      <c r="G46" s="120"/>
      <c r="H46" s="146"/>
      <c r="I46" s="107"/>
    </row>
    <row r="47" spans="1:9" ht="25.8" x14ac:dyDescent="0.3">
      <c r="A47" s="34" t="s">
        <v>607</v>
      </c>
      <c r="B47" s="44" t="s">
        <v>607</v>
      </c>
      <c r="C47" s="115"/>
      <c r="D47" s="115"/>
      <c r="E47" s="115"/>
      <c r="F47" s="115"/>
      <c r="G47" s="125">
        <f>(COUNTIF(G48:G51, "Oui")/COUNTA(G48:G51))*100</f>
        <v>0</v>
      </c>
      <c r="H47" s="120"/>
      <c r="I47" s="115"/>
    </row>
    <row r="48" spans="1:9" ht="171.6" hidden="1" x14ac:dyDescent="0.3">
      <c r="A48" s="34" t="s">
        <v>607</v>
      </c>
      <c r="B48" s="70" t="s">
        <v>10</v>
      </c>
      <c r="C48" s="112" t="s">
        <v>608</v>
      </c>
      <c r="D48" s="17" t="s">
        <v>623</v>
      </c>
      <c r="E48" s="108"/>
      <c r="F48" s="107" t="s">
        <v>757</v>
      </c>
      <c r="G48" s="120" t="s">
        <v>493</v>
      </c>
      <c r="H48" s="146"/>
      <c r="I48" s="107"/>
    </row>
    <row r="49" spans="1:9" ht="409.6" hidden="1" x14ac:dyDescent="0.3">
      <c r="A49" s="34" t="s">
        <v>607</v>
      </c>
      <c r="B49" s="70" t="s">
        <v>15</v>
      </c>
      <c r="C49" s="112" t="s">
        <v>609</v>
      </c>
      <c r="D49" s="17" t="s">
        <v>624</v>
      </c>
      <c r="E49" s="108"/>
      <c r="F49" s="107"/>
      <c r="G49" s="120"/>
      <c r="H49" s="146"/>
      <c r="I49" s="107"/>
    </row>
    <row r="50" spans="1:9" ht="198.6" hidden="1" customHeight="1" x14ac:dyDescent="0.3">
      <c r="A50" s="34" t="s">
        <v>607</v>
      </c>
      <c r="B50" s="70" t="s">
        <v>16</v>
      </c>
      <c r="C50" s="112" t="s">
        <v>610</v>
      </c>
      <c r="D50" s="17" t="s">
        <v>625</v>
      </c>
      <c r="E50" s="108"/>
      <c r="F50" s="107"/>
      <c r="G50" s="120"/>
      <c r="H50" s="146"/>
      <c r="I50" s="107"/>
    </row>
    <row r="51" spans="1:9" ht="408.6" hidden="1" customHeight="1" x14ac:dyDescent="0.3">
      <c r="A51" s="34" t="s">
        <v>607</v>
      </c>
      <c r="B51" s="70" t="s">
        <v>151</v>
      </c>
      <c r="C51" s="112" t="s">
        <v>611</v>
      </c>
      <c r="D51" s="17" t="s">
        <v>626</v>
      </c>
      <c r="E51" s="108"/>
      <c r="F51" s="107"/>
      <c r="G51" s="120" t="s">
        <v>765</v>
      </c>
      <c r="H51" s="146"/>
      <c r="I51" s="107"/>
    </row>
    <row r="52" spans="1:9" ht="25.8" x14ac:dyDescent="0.3">
      <c r="A52" s="34" t="s">
        <v>612</v>
      </c>
      <c r="B52" s="44" t="s">
        <v>612</v>
      </c>
      <c r="C52" s="115"/>
      <c r="D52" s="115"/>
      <c r="E52" s="115"/>
      <c r="F52" s="115"/>
      <c r="G52" s="125">
        <f>(COUNTIF(G53, "Oui")/COUNTA(G53))*100</f>
        <v>0</v>
      </c>
      <c r="H52" s="120"/>
      <c r="I52" s="115"/>
    </row>
    <row r="53" spans="1:9" ht="15.6" hidden="1" x14ac:dyDescent="0.3">
      <c r="A53" s="34" t="s">
        <v>612</v>
      </c>
      <c r="B53" s="9" t="s">
        <v>493</v>
      </c>
      <c r="C53" s="17"/>
      <c r="D53" s="17"/>
      <c r="E53" s="108" t="s">
        <v>467</v>
      </c>
      <c r="F53" s="107" t="s">
        <v>627</v>
      </c>
      <c r="G53" s="120" t="s">
        <v>493</v>
      </c>
      <c r="H53" s="146"/>
      <c r="I53" s="107"/>
    </row>
    <row r="270" spans="5:7" x14ac:dyDescent="0.3">
      <c r="E270" s="1"/>
      <c r="F270" s="1"/>
      <c r="G270" s="1"/>
    </row>
    <row r="271" spans="5:7" x14ac:dyDescent="0.3">
      <c r="E271" s="3"/>
      <c r="F271" s="3"/>
      <c r="G271" s="2"/>
    </row>
    <row r="272" spans="5:7" x14ac:dyDescent="0.3">
      <c r="E272" s="3"/>
      <c r="F272" s="3"/>
      <c r="G272" s="2"/>
    </row>
    <row r="273" spans="5:7" x14ac:dyDescent="0.3">
      <c r="E273" s="3"/>
      <c r="F273" s="3"/>
      <c r="G273" s="2"/>
    </row>
    <row r="274" spans="5:7" x14ac:dyDescent="0.3">
      <c r="E274" s="3"/>
      <c r="F274" s="3"/>
      <c r="G274" s="2"/>
    </row>
    <row r="275" spans="5:7" x14ac:dyDescent="0.3">
      <c r="E275" s="3"/>
      <c r="F275" s="3"/>
      <c r="G275" s="2"/>
    </row>
    <row r="276" spans="5:7" x14ac:dyDescent="0.3">
      <c r="E276" s="3"/>
      <c r="F276" s="3"/>
      <c r="G276" s="2"/>
    </row>
    <row r="277" spans="5:7" x14ac:dyDescent="0.3">
      <c r="E277" s="3"/>
      <c r="F277" s="3"/>
      <c r="G277" s="2"/>
    </row>
    <row r="278" spans="5:7" x14ac:dyDescent="0.3">
      <c r="E278" s="3"/>
      <c r="F278" s="3"/>
      <c r="G278" s="2"/>
    </row>
    <row r="279" spans="5:7" x14ac:dyDescent="0.3">
      <c r="E279" s="3"/>
      <c r="F279" s="3"/>
      <c r="G279" s="2"/>
    </row>
    <row r="280" spans="5:7" x14ac:dyDescent="0.3">
      <c r="E280" s="3"/>
      <c r="F280" s="3"/>
      <c r="G280" s="2"/>
    </row>
    <row r="281" spans="5:7" x14ac:dyDescent="0.3">
      <c r="E281" s="3"/>
      <c r="F281" s="3"/>
      <c r="G281" s="2"/>
    </row>
    <row r="282" spans="5:7" x14ac:dyDescent="0.3">
      <c r="E282" s="3"/>
      <c r="F282" s="3"/>
      <c r="G282" s="2"/>
    </row>
    <row r="283" spans="5:7" x14ac:dyDescent="0.3">
      <c r="E283" s="3"/>
      <c r="F283" s="3"/>
      <c r="G283" s="2"/>
    </row>
  </sheetData>
  <phoneticPr fontId="4" type="noConversion"/>
  <conditionalFormatting sqref="E3 E5 E7 E9:E15 E17:E34">
    <cfRule type="containsText" dxfId="195" priority="120" operator="containsText" text="Non">
      <formula>NOT(ISERROR(SEARCH("Non",E3)))</formula>
    </cfRule>
    <cfRule type="containsText" dxfId="194" priority="121" operator="containsText" text="Partiellement">
      <formula>NOT(ISERROR(SEARCH("Partiellement",E3)))</formula>
    </cfRule>
    <cfRule type="containsText" dxfId="193" priority="122" operator="containsText" text="Oui">
      <formula>NOT(ISERROR(SEARCH("Oui",E3)))</formula>
    </cfRule>
  </conditionalFormatting>
  <conditionalFormatting sqref="E36:E53">
    <cfRule type="containsText" dxfId="192" priority="111" operator="containsText" text="Non">
      <formula>NOT(ISERROR(SEARCH("Non",E36)))</formula>
    </cfRule>
    <cfRule type="containsText" dxfId="191" priority="112" operator="containsText" text="Partiellement">
      <formula>NOT(ISERROR(SEARCH("Partiellement",E36)))</formula>
    </cfRule>
    <cfRule type="containsText" dxfId="190" priority="113" operator="containsText" text="Oui">
      <formula>NOT(ISERROR(SEARCH("Oui",E36)))</formula>
    </cfRule>
  </conditionalFormatting>
  <conditionalFormatting sqref="G4">
    <cfRule type="cellIs" dxfId="189" priority="95" operator="greaterThan">
      <formula>75</formula>
    </cfRule>
    <cfRule type="cellIs" dxfId="188" priority="96" operator="between">
      <formula>50</formula>
      <formula>75</formula>
    </cfRule>
    <cfRule type="cellIs" dxfId="187" priority="97" operator="between">
      <formula>25</formula>
      <formula>50</formula>
    </cfRule>
    <cfRule type="cellIs" dxfId="186" priority="98" operator="lessThan">
      <formula>25</formula>
    </cfRule>
    <cfRule type="cellIs" dxfId="185" priority="99" operator="between">
      <formula>0</formula>
      <formula>"24.9"</formula>
    </cfRule>
  </conditionalFormatting>
  <conditionalFormatting sqref="G5 G9:G15 G17:G34 G36:G41 G43:G46 G48:G51 G53">
    <cfRule type="containsText" dxfId="184" priority="105" operator="containsText" text="Partiellement">
      <formula>NOT(ISERROR(SEARCH("Partiellement",G5)))</formula>
    </cfRule>
    <cfRule type="containsText" dxfId="183" priority="106" operator="containsText" text="Non Conforme">
      <formula>NOT(ISERROR(SEARCH("Non Conforme",G5)))</formula>
    </cfRule>
    <cfRule type="containsText" dxfId="182" priority="107" operator="containsText" text="Conforme">
      <formula>NOT(ISERROR(SEARCH("Conforme",G5)))</formula>
    </cfRule>
    <cfRule type="containsText" dxfId="181" priority="108" operator="containsText" text="Non">
      <formula>NOT(ISERROR(SEARCH("Non",G5)))</formula>
    </cfRule>
    <cfRule type="containsText" dxfId="180" priority="109" operator="containsText" text="Partiellement">
      <formula>NOT(ISERROR(SEARCH("Partiellement",G5)))</formula>
    </cfRule>
    <cfRule type="containsText" dxfId="179" priority="110" operator="containsText" text="Oui">
      <formula>NOT(ISERROR(SEARCH("Oui",G5)))</formula>
    </cfRule>
  </conditionalFormatting>
  <conditionalFormatting sqref="G8">
    <cfRule type="cellIs" dxfId="178" priority="90" operator="greaterThan">
      <formula>75</formula>
    </cfRule>
    <cfRule type="cellIs" dxfId="177" priority="91" operator="between">
      <formula>50</formula>
      <formula>75</formula>
    </cfRule>
    <cfRule type="cellIs" dxfId="176" priority="92" operator="between">
      <formula>25</formula>
      <formula>50</formula>
    </cfRule>
    <cfRule type="cellIs" dxfId="175" priority="93" operator="lessThan">
      <formula>25</formula>
    </cfRule>
    <cfRule type="cellIs" dxfId="174" priority="94" operator="between">
      <formula>0</formula>
      <formula>"24.9"</formula>
    </cfRule>
  </conditionalFormatting>
  <conditionalFormatting sqref="G16">
    <cfRule type="cellIs" dxfId="173" priority="85" operator="greaterThan">
      <formula>75</formula>
    </cfRule>
    <cfRule type="cellIs" dxfId="172" priority="86" operator="between">
      <formula>50</formula>
      <formula>75</formula>
    </cfRule>
    <cfRule type="cellIs" dxfId="171" priority="87" operator="between">
      <formula>25</formula>
      <formula>50</formula>
    </cfRule>
    <cfRule type="cellIs" dxfId="170" priority="88" operator="lessThan">
      <formula>25</formula>
    </cfRule>
    <cfRule type="cellIs" dxfId="169" priority="89" operator="between">
      <formula>0</formula>
      <formula>"24.9"</formula>
    </cfRule>
  </conditionalFormatting>
  <conditionalFormatting sqref="G35">
    <cfRule type="cellIs" dxfId="168" priority="80" operator="greaterThan">
      <formula>75</formula>
    </cfRule>
    <cfRule type="cellIs" dxfId="167" priority="81" operator="between">
      <formula>50</formula>
      <formula>75</formula>
    </cfRule>
    <cfRule type="cellIs" dxfId="166" priority="82" operator="between">
      <formula>25</formula>
      <formula>50</formula>
    </cfRule>
    <cfRule type="cellIs" dxfId="165" priority="83" operator="lessThan">
      <formula>25</formula>
    </cfRule>
    <cfRule type="cellIs" dxfId="164" priority="84" operator="between">
      <formula>0</formula>
      <formula>"24.9"</formula>
    </cfRule>
  </conditionalFormatting>
  <conditionalFormatting sqref="G42">
    <cfRule type="cellIs" dxfId="163" priority="75" operator="greaterThan">
      <formula>75</formula>
    </cfRule>
    <cfRule type="cellIs" dxfId="162" priority="76" operator="between">
      <formula>50</formula>
      <formula>75</formula>
    </cfRule>
    <cfRule type="cellIs" dxfId="161" priority="77" operator="between">
      <formula>25</formula>
      <formula>50</formula>
    </cfRule>
    <cfRule type="cellIs" dxfId="160" priority="78" operator="lessThan">
      <formula>25</formula>
    </cfRule>
    <cfRule type="cellIs" dxfId="159" priority="79" operator="between">
      <formula>0</formula>
      <formula>"24.9"</formula>
    </cfRule>
  </conditionalFormatting>
  <conditionalFormatting sqref="G47">
    <cfRule type="cellIs" dxfId="158" priority="70" operator="greaterThan">
      <formula>75</formula>
    </cfRule>
    <cfRule type="cellIs" dxfId="157" priority="71" operator="between">
      <formula>50</formula>
      <formula>75</formula>
    </cfRule>
    <cfRule type="cellIs" dxfId="156" priority="72" operator="between">
      <formula>25</formula>
      <formula>50</formula>
    </cfRule>
    <cfRule type="cellIs" dxfId="155" priority="73" operator="lessThan">
      <formula>25</formula>
    </cfRule>
    <cfRule type="cellIs" dxfId="154" priority="74" operator="between">
      <formula>0</formula>
      <formula>"24.9"</formula>
    </cfRule>
  </conditionalFormatting>
  <conditionalFormatting sqref="G52">
    <cfRule type="cellIs" dxfId="153" priority="65" operator="greaterThan">
      <formula>75</formula>
    </cfRule>
    <cfRule type="cellIs" dxfId="152" priority="66" operator="between">
      <formula>50</formula>
      <formula>75</formula>
    </cfRule>
    <cfRule type="cellIs" dxfId="151" priority="67" operator="between">
      <formula>25</formula>
      <formula>50</formula>
    </cfRule>
    <cfRule type="cellIs" dxfId="150" priority="68" operator="lessThan">
      <formula>25</formula>
    </cfRule>
    <cfRule type="cellIs" dxfId="149" priority="69" operator="between">
      <formula>0</formula>
      <formula>"24.9"</formula>
    </cfRule>
  </conditionalFormatting>
  <conditionalFormatting sqref="H4">
    <cfRule type="containsText" dxfId="148" priority="57" operator="containsText" text="Non Conforme">
      <formula>NOT(ISERROR(SEARCH("Non Conforme",H4)))</formula>
    </cfRule>
    <cfRule type="containsText" dxfId="147" priority="58" operator="containsText" text="Conforme">
      <formula>NOT(ISERROR(SEARCH("Conforme",H4)))</formula>
    </cfRule>
    <cfRule type="containsText" dxfId="146" priority="59" operator="containsText" text="Partiellement">
      <formula>NOT(ISERROR(SEARCH("Partiellement",H4)))</formula>
    </cfRule>
    <cfRule type="containsText" dxfId="145" priority="60" operator="containsText" text="Non Conforme">
      <formula>NOT(ISERROR(SEARCH("Non Conforme",H4)))</formula>
    </cfRule>
    <cfRule type="containsText" dxfId="144" priority="61" operator="containsText" text="Conforme">
      <formula>NOT(ISERROR(SEARCH("Conforme",H4)))</formula>
    </cfRule>
    <cfRule type="containsText" dxfId="143" priority="62" operator="containsText" text="Non">
      <formula>NOT(ISERROR(SEARCH("Non",H4)))</formula>
    </cfRule>
    <cfRule type="containsText" dxfId="142" priority="63" operator="containsText" text="Partiellement">
      <formula>NOT(ISERROR(SEARCH("Partiellement",H4)))</formula>
    </cfRule>
    <cfRule type="containsText" dxfId="141" priority="64" operator="containsText" text="Oui">
      <formula>NOT(ISERROR(SEARCH("Oui",H4)))</formula>
    </cfRule>
  </conditionalFormatting>
  <conditionalFormatting sqref="H6">
    <cfRule type="containsText" dxfId="140" priority="49" operator="containsText" text="Non Conforme">
      <formula>NOT(ISERROR(SEARCH("Non Conforme",H6)))</formula>
    </cfRule>
    <cfRule type="containsText" dxfId="139" priority="50" operator="containsText" text="Conforme">
      <formula>NOT(ISERROR(SEARCH("Conforme",H6)))</formula>
    </cfRule>
    <cfRule type="containsText" dxfId="138" priority="51" operator="containsText" text="Partiellement">
      <formula>NOT(ISERROR(SEARCH("Partiellement",H6)))</formula>
    </cfRule>
    <cfRule type="containsText" dxfId="137" priority="52" operator="containsText" text="Non Conforme">
      <formula>NOT(ISERROR(SEARCH("Non Conforme",H6)))</formula>
    </cfRule>
    <cfRule type="containsText" dxfId="136" priority="53" operator="containsText" text="Conforme">
      <formula>NOT(ISERROR(SEARCH("Conforme",H6)))</formula>
    </cfRule>
    <cfRule type="containsText" dxfId="135" priority="54" operator="containsText" text="Non">
      <formula>NOT(ISERROR(SEARCH("Non",H6)))</formula>
    </cfRule>
    <cfRule type="containsText" dxfId="134" priority="55" operator="containsText" text="Partiellement">
      <formula>NOT(ISERROR(SEARCH("Partiellement",H6)))</formula>
    </cfRule>
    <cfRule type="containsText" dxfId="133" priority="56" operator="containsText" text="Oui">
      <formula>NOT(ISERROR(SEARCH("Oui",H6)))</formula>
    </cfRule>
  </conditionalFormatting>
  <conditionalFormatting sqref="H8">
    <cfRule type="containsText" dxfId="132" priority="41" operator="containsText" text="Non Conforme">
      <formula>NOT(ISERROR(SEARCH("Non Conforme",H8)))</formula>
    </cfRule>
    <cfRule type="containsText" dxfId="131" priority="42" operator="containsText" text="Conforme">
      <formula>NOT(ISERROR(SEARCH("Conforme",H8)))</formula>
    </cfRule>
    <cfRule type="containsText" dxfId="130" priority="43" operator="containsText" text="Partiellement">
      <formula>NOT(ISERROR(SEARCH("Partiellement",H8)))</formula>
    </cfRule>
    <cfRule type="containsText" dxfId="129" priority="44" operator="containsText" text="Non Conforme">
      <formula>NOT(ISERROR(SEARCH("Non Conforme",H8)))</formula>
    </cfRule>
    <cfRule type="containsText" dxfId="128" priority="45" operator="containsText" text="Conforme">
      <formula>NOT(ISERROR(SEARCH("Conforme",H8)))</formula>
    </cfRule>
    <cfRule type="containsText" dxfId="127" priority="46" operator="containsText" text="Non">
      <formula>NOT(ISERROR(SEARCH("Non",H8)))</formula>
    </cfRule>
    <cfRule type="containsText" dxfId="126" priority="47" operator="containsText" text="Partiellement">
      <formula>NOT(ISERROR(SEARCH("Partiellement",H8)))</formula>
    </cfRule>
    <cfRule type="containsText" dxfId="125" priority="48" operator="containsText" text="Oui">
      <formula>NOT(ISERROR(SEARCH("Oui",H8)))</formula>
    </cfRule>
  </conditionalFormatting>
  <conditionalFormatting sqref="H16">
    <cfRule type="containsText" dxfId="124" priority="33" operator="containsText" text="Non Conforme">
      <formula>NOT(ISERROR(SEARCH("Non Conforme",H16)))</formula>
    </cfRule>
    <cfRule type="containsText" dxfId="123" priority="34" operator="containsText" text="Conforme">
      <formula>NOT(ISERROR(SEARCH("Conforme",H16)))</formula>
    </cfRule>
    <cfRule type="containsText" dxfId="122" priority="35" operator="containsText" text="Partiellement">
      <formula>NOT(ISERROR(SEARCH("Partiellement",H16)))</formula>
    </cfRule>
    <cfRule type="containsText" dxfId="121" priority="36" operator="containsText" text="Non Conforme">
      <formula>NOT(ISERROR(SEARCH("Non Conforme",H16)))</formula>
    </cfRule>
    <cfRule type="containsText" dxfId="120" priority="37" operator="containsText" text="Conforme">
      <formula>NOT(ISERROR(SEARCH("Conforme",H16)))</formula>
    </cfRule>
    <cfRule type="containsText" dxfId="119" priority="38" operator="containsText" text="Non">
      <formula>NOT(ISERROR(SEARCH("Non",H16)))</formula>
    </cfRule>
    <cfRule type="containsText" dxfId="118" priority="39" operator="containsText" text="Partiellement">
      <formula>NOT(ISERROR(SEARCH("Partiellement",H16)))</formula>
    </cfRule>
    <cfRule type="containsText" dxfId="117" priority="40" operator="containsText" text="Oui">
      <formula>NOT(ISERROR(SEARCH("Oui",H16)))</formula>
    </cfRule>
  </conditionalFormatting>
  <conditionalFormatting sqref="H35">
    <cfRule type="containsText" dxfId="116" priority="25" operator="containsText" text="Non Conforme">
      <formula>NOT(ISERROR(SEARCH("Non Conforme",H35)))</formula>
    </cfRule>
    <cfRule type="containsText" dxfId="115" priority="26" operator="containsText" text="Conforme">
      <formula>NOT(ISERROR(SEARCH("Conforme",H35)))</formula>
    </cfRule>
    <cfRule type="containsText" dxfId="114" priority="27" operator="containsText" text="Partiellement">
      <formula>NOT(ISERROR(SEARCH("Partiellement",H35)))</formula>
    </cfRule>
    <cfRule type="containsText" dxfId="113" priority="28" operator="containsText" text="Non Conforme">
      <formula>NOT(ISERROR(SEARCH("Non Conforme",H35)))</formula>
    </cfRule>
    <cfRule type="containsText" dxfId="112" priority="29" operator="containsText" text="Conforme">
      <formula>NOT(ISERROR(SEARCH("Conforme",H35)))</formula>
    </cfRule>
    <cfRule type="containsText" dxfId="111" priority="30" operator="containsText" text="Non">
      <formula>NOT(ISERROR(SEARCH("Non",H35)))</formula>
    </cfRule>
    <cfRule type="containsText" dxfId="110" priority="31" operator="containsText" text="Partiellement">
      <formula>NOT(ISERROR(SEARCH("Partiellement",H35)))</formula>
    </cfRule>
    <cfRule type="containsText" dxfId="109" priority="32" operator="containsText" text="Oui">
      <formula>NOT(ISERROR(SEARCH("Oui",H35)))</formula>
    </cfRule>
  </conditionalFormatting>
  <conditionalFormatting sqref="H42">
    <cfRule type="containsText" dxfId="108" priority="17" operator="containsText" text="Non Conforme">
      <formula>NOT(ISERROR(SEARCH("Non Conforme",H42)))</formula>
    </cfRule>
    <cfRule type="containsText" dxfId="107" priority="18" operator="containsText" text="Conforme">
      <formula>NOT(ISERROR(SEARCH("Conforme",H42)))</formula>
    </cfRule>
    <cfRule type="containsText" dxfId="106" priority="19" operator="containsText" text="Partiellement">
      <formula>NOT(ISERROR(SEARCH("Partiellement",H42)))</formula>
    </cfRule>
    <cfRule type="containsText" dxfId="105" priority="20" operator="containsText" text="Non Conforme">
      <formula>NOT(ISERROR(SEARCH("Non Conforme",H42)))</formula>
    </cfRule>
    <cfRule type="containsText" dxfId="104" priority="21" operator="containsText" text="Conforme">
      <formula>NOT(ISERROR(SEARCH("Conforme",H42)))</formula>
    </cfRule>
    <cfRule type="containsText" dxfId="103" priority="22" operator="containsText" text="Non">
      <formula>NOT(ISERROR(SEARCH("Non",H42)))</formula>
    </cfRule>
    <cfRule type="containsText" dxfId="102" priority="23" operator="containsText" text="Partiellement">
      <formula>NOT(ISERROR(SEARCH("Partiellement",H42)))</formula>
    </cfRule>
    <cfRule type="containsText" dxfId="101" priority="24" operator="containsText" text="Oui">
      <formula>NOT(ISERROR(SEARCH("Oui",H42)))</formula>
    </cfRule>
  </conditionalFormatting>
  <conditionalFormatting sqref="H47">
    <cfRule type="containsText" dxfId="100" priority="9" operator="containsText" text="Non Conforme">
      <formula>NOT(ISERROR(SEARCH("Non Conforme",H47)))</formula>
    </cfRule>
    <cfRule type="containsText" dxfId="99" priority="10" operator="containsText" text="Conforme">
      <formula>NOT(ISERROR(SEARCH("Conforme",H47)))</formula>
    </cfRule>
    <cfRule type="containsText" dxfId="98" priority="11" operator="containsText" text="Partiellement">
      <formula>NOT(ISERROR(SEARCH("Partiellement",H47)))</formula>
    </cfRule>
    <cfRule type="containsText" dxfId="97" priority="12" operator="containsText" text="Non Conforme">
      <formula>NOT(ISERROR(SEARCH("Non Conforme",H47)))</formula>
    </cfRule>
    <cfRule type="containsText" dxfId="96" priority="13" operator="containsText" text="Conforme">
      <formula>NOT(ISERROR(SEARCH("Conforme",H47)))</formula>
    </cfRule>
    <cfRule type="containsText" dxfId="95" priority="14" operator="containsText" text="Non">
      <formula>NOT(ISERROR(SEARCH("Non",H47)))</formula>
    </cfRule>
    <cfRule type="containsText" dxfId="94" priority="15" operator="containsText" text="Partiellement">
      <formula>NOT(ISERROR(SEARCH("Partiellement",H47)))</formula>
    </cfRule>
    <cfRule type="containsText" dxfId="93" priority="16" operator="containsText" text="Oui">
      <formula>NOT(ISERROR(SEARCH("Oui",H47)))</formula>
    </cfRule>
  </conditionalFormatting>
  <conditionalFormatting sqref="H52">
    <cfRule type="containsText" dxfId="92" priority="1" operator="containsText" text="Non Conforme">
      <formula>NOT(ISERROR(SEARCH("Non Conforme",H52)))</formula>
    </cfRule>
    <cfRule type="containsText" dxfId="91" priority="2" operator="containsText" text="Conforme">
      <formula>NOT(ISERROR(SEARCH("Conforme",H52)))</formula>
    </cfRule>
    <cfRule type="containsText" dxfId="90" priority="3" operator="containsText" text="Partiellement">
      <formula>NOT(ISERROR(SEARCH("Partiellement",H52)))</formula>
    </cfRule>
    <cfRule type="containsText" dxfId="89" priority="4" operator="containsText" text="Non Conforme">
      <formula>NOT(ISERROR(SEARCH("Non Conforme",H52)))</formula>
    </cfRule>
    <cfRule type="containsText" dxfId="88" priority="5" operator="containsText" text="Conforme">
      <formula>NOT(ISERROR(SEARCH("Conforme",H52)))</formula>
    </cfRule>
    <cfRule type="containsText" dxfId="87" priority="6" operator="containsText" text="Non">
      <formula>NOT(ISERROR(SEARCH("Non",H52)))</formula>
    </cfRule>
    <cfRule type="containsText" dxfId="86" priority="7" operator="containsText" text="Partiellement">
      <formula>NOT(ISERROR(SEARCH("Partiellement",H52)))</formula>
    </cfRule>
    <cfRule type="containsText" dxfId="85" priority="8" operator="containsText" text="Oui">
      <formula>NOT(ISERROR(SEARCH("Oui",H52)))</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9984-5284-46E2-87EA-479A2EEA2F64}">
  <sheetPr>
    <tabColor theme="4" tint="0.59999389629810485"/>
  </sheetPr>
  <dimension ref="B1:Z37"/>
  <sheetViews>
    <sheetView zoomScaleNormal="55" workbookViewId="0">
      <selection activeCell="D36" sqref="D36"/>
    </sheetView>
  </sheetViews>
  <sheetFormatPr defaultColWidth="8.88671875" defaultRowHeight="14.4" x14ac:dyDescent="0.3"/>
  <cols>
    <col min="1" max="1" width="8.88671875" customWidth="1"/>
    <col min="2" max="2" width="7.6640625" customWidth="1"/>
    <col min="3" max="3" width="15" customWidth="1"/>
    <col min="4" max="4" width="100.5546875" customWidth="1"/>
    <col min="5" max="5" width="78.109375" customWidth="1"/>
    <col min="6" max="6" width="46.88671875" customWidth="1"/>
    <col min="7" max="7" width="58.77734375" customWidth="1"/>
    <col min="8" max="8" width="114.88671875" customWidth="1"/>
    <col min="9" max="9" width="51.88671875" customWidth="1"/>
    <col min="10" max="10" width="103.77734375" customWidth="1"/>
  </cols>
  <sheetData>
    <row r="1" spans="2:26" s="63" customFormat="1" ht="32.4" x14ac:dyDescent="0.6">
      <c r="B1" s="60" t="s">
        <v>0</v>
      </c>
      <c r="C1" s="60" t="s">
        <v>7</v>
      </c>
      <c r="D1" s="60" t="s">
        <v>1</v>
      </c>
      <c r="E1" s="60" t="s">
        <v>372</v>
      </c>
      <c r="F1" s="60" t="s">
        <v>371</v>
      </c>
      <c r="G1" s="60" t="s">
        <v>4</v>
      </c>
      <c r="H1" s="117" t="s">
        <v>767</v>
      </c>
      <c r="I1" s="117" t="s">
        <v>766</v>
      </c>
      <c r="J1" s="64" t="s">
        <v>5</v>
      </c>
    </row>
    <row r="2" spans="2:26" ht="25.8" x14ac:dyDescent="0.3">
      <c r="B2" s="54" t="s">
        <v>358</v>
      </c>
      <c r="C2" s="44" t="s">
        <v>358</v>
      </c>
      <c r="D2" s="44"/>
      <c r="E2" s="44"/>
      <c r="F2" s="44"/>
      <c r="G2" s="44"/>
      <c r="H2" s="125">
        <f t="shared" ref="H2" si="0">(COUNTIF(H3:H28, "Oui")/COUNTA(H3:H28))*100</f>
        <v>0</v>
      </c>
      <c r="I2" s="120"/>
      <c r="J2" s="44"/>
    </row>
    <row r="3" spans="2:26" ht="265.2" hidden="1" x14ac:dyDescent="0.3">
      <c r="B3" s="55" t="s">
        <v>358</v>
      </c>
      <c r="C3" s="66" t="s">
        <v>407</v>
      </c>
      <c r="D3" s="17" t="s">
        <v>437</v>
      </c>
      <c r="E3" s="116" t="s">
        <v>477</v>
      </c>
      <c r="F3" s="108" t="s">
        <v>468</v>
      </c>
      <c r="G3" s="107"/>
      <c r="H3" s="120" t="s">
        <v>493</v>
      </c>
      <c r="I3" s="146"/>
      <c r="J3" s="107"/>
    </row>
    <row r="4" spans="2:26" ht="374.4" hidden="1" x14ac:dyDescent="0.3">
      <c r="B4" s="55" t="s">
        <v>358</v>
      </c>
      <c r="C4" s="66" t="s">
        <v>408</v>
      </c>
      <c r="D4" s="17" t="s">
        <v>438</v>
      </c>
      <c r="E4" s="107" t="s">
        <v>478</v>
      </c>
      <c r="F4" s="108" t="s">
        <v>468</v>
      </c>
      <c r="G4" s="107"/>
      <c r="H4" s="120" t="s">
        <v>493</v>
      </c>
      <c r="I4" s="146"/>
      <c r="J4" s="107"/>
      <c r="Y4" s="1"/>
      <c r="Z4" s="1"/>
    </row>
    <row r="5" spans="2:26" ht="156" hidden="1" x14ac:dyDescent="0.3">
      <c r="B5" s="55" t="s">
        <v>358</v>
      </c>
      <c r="C5" s="66" t="s">
        <v>409</v>
      </c>
      <c r="D5" s="17" t="s">
        <v>439</v>
      </c>
      <c r="E5" s="107" t="s">
        <v>586</v>
      </c>
      <c r="F5" s="108" t="s">
        <v>468</v>
      </c>
      <c r="G5" s="107"/>
      <c r="H5" s="120" t="s">
        <v>493</v>
      </c>
      <c r="I5" s="146"/>
      <c r="J5" s="107"/>
      <c r="Y5" s="3"/>
      <c r="Z5" s="2"/>
    </row>
    <row r="6" spans="2:26" ht="249.6" hidden="1" x14ac:dyDescent="0.3">
      <c r="B6" s="55" t="s">
        <v>358</v>
      </c>
      <c r="C6" s="66" t="s">
        <v>410</v>
      </c>
      <c r="D6" s="17" t="s">
        <v>440</v>
      </c>
      <c r="E6" s="8" t="s">
        <v>732</v>
      </c>
      <c r="F6" s="108" t="s">
        <v>468</v>
      </c>
      <c r="G6" s="107"/>
      <c r="H6" s="120" t="s">
        <v>493</v>
      </c>
      <c r="I6" s="146"/>
      <c r="J6" s="107"/>
      <c r="Y6" s="3"/>
      <c r="Z6" s="2"/>
    </row>
    <row r="7" spans="2:26" ht="327.60000000000002" hidden="1" x14ac:dyDescent="0.3">
      <c r="B7" s="55" t="s">
        <v>358</v>
      </c>
      <c r="C7" s="66" t="s">
        <v>411</v>
      </c>
      <c r="D7" s="17" t="s">
        <v>441</v>
      </c>
      <c r="E7" s="8" t="s">
        <v>733</v>
      </c>
      <c r="F7" s="108" t="s">
        <v>468</v>
      </c>
      <c r="G7" s="107"/>
      <c r="H7" s="120" t="s">
        <v>493</v>
      </c>
      <c r="I7" s="146"/>
      <c r="J7" s="107"/>
      <c r="Y7" s="3"/>
      <c r="Z7" s="2"/>
    </row>
    <row r="8" spans="2:26" ht="218.4" hidden="1" x14ac:dyDescent="0.3">
      <c r="B8" s="55" t="s">
        <v>358</v>
      </c>
      <c r="C8" s="66" t="s">
        <v>412</v>
      </c>
      <c r="D8" s="17" t="s">
        <v>442</v>
      </c>
      <c r="E8" s="8" t="s">
        <v>734</v>
      </c>
      <c r="F8" s="108" t="s">
        <v>468</v>
      </c>
      <c r="G8" s="107"/>
      <c r="H8" s="120" t="s">
        <v>493</v>
      </c>
      <c r="I8" s="146"/>
      <c r="J8" s="107"/>
      <c r="Y8" s="3"/>
      <c r="Z8" s="2"/>
    </row>
    <row r="9" spans="2:26" ht="171.6" hidden="1" x14ac:dyDescent="0.3">
      <c r="B9" s="55" t="s">
        <v>358</v>
      </c>
      <c r="C9" s="66" t="s">
        <v>413</v>
      </c>
      <c r="D9" s="17" t="s">
        <v>443</v>
      </c>
      <c r="E9" s="135" t="s">
        <v>735</v>
      </c>
      <c r="F9" s="108" t="s">
        <v>468</v>
      </c>
      <c r="G9" s="107"/>
      <c r="H9" s="120" t="s">
        <v>493</v>
      </c>
      <c r="I9" s="146"/>
      <c r="J9" s="107"/>
    </row>
    <row r="10" spans="2:26" ht="124.8" hidden="1" x14ac:dyDescent="0.3">
      <c r="B10" s="55" t="s">
        <v>358</v>
      </c>
      <c r="C10" s="66" t="s">
        <v>414</v>
      </c>
      <c r="D10" s="17" t="s">
        <v>444</v>
      </c>
      <c r="E10" s="107" t="s">
        <v>587</v>
      </c>
      <c r="F10" s="108" t="s">
        <v>468</v>
      </c>
      <c r="G10" s="107"/>
      <c r="H10" s="120" t="s">
        <v>493</v>
      </c>
      <c r="I10" s="146"/>
      <c r="J10" s="107"/>
    </row>
    <row r="11" spans="2:26" ht="93.6" hidden="1" x14ac:dyDescent="0.3">
      <c r="B11" s="55" t="s">
        <v>358</v>
      </c>
      <c r="C11" s="66" t="s">
        <v>415</v>
      </c>
      <c r="D11" s="17" t="s">
        <v>445</v>
      </c>
      <c r="E11" s="107" t="s">
        <v>588</v>
      </c>
      <c r="F11" s="108" t="s">
        <v>468</v>
      </c>
      <c r="G11" s="107"/>
      <c r="H11" s="120" t="s">
        <v>493</v>
      </c>
      <c r="I11" s="146"/>
      <c r="J11" s="107"/>
    </row>
    <row r="12" spans="2:26" ht="202.8" hidden="1" x14ac:dyDescent="0.3">
      <c r="B12" s="55" t="s">
        <v>358</v>
      </c>
      <c r="C12" s="66" t="s">
        <v>416</v>
      </c>
      <c r="D12" s="17" t="s">
        <v>446</v>
      </c>
      <c r="E12" s="107" t="s">
        <v>589</v>
      </c>
      <c r="F12" s="108" t="s">
        <v>468</v>
      </c>
      <c r="G12" s="107"/>
      <c r="H12" s="120" t="s">
        <v>493</v>
      </c>
      <c r="I12" s="146"/>
      <c r="J12" s="107"/>
    </row>
    <row r="13" spans="2:26" ht="409.6" hidden="1" x14ac:dyDescent="0.3">
      <c r="B13" s="55" t="s">
        <v>358</v>
      </c>
      <c r="C13" s="66" t="s">
        <v>433</v>
      </c>
      <c r="D13" s="17" t="s">
        <v>359</v>
      </c>
      <c r="E13" s="17" t="s">
        <v>736</v>
      </c>
      <c r="F13" s="108" t="s">
        <v>468</v>
      </c>
      <c r="G13" s="107"/>
      <c r="H13" s="120" t="s">
        <v>493</v>
      </c>
      <c r="I13" s="146"/>
      <c r="J13" s="107"/>
    </row>
    <row r="14" spans="2:26" ht="280.8" hidden="1" x14ac:dyDescent="0.3">
      <c r="B14" s="55" t="s">
        <v>358</v>
      </c>
      <c r="C14" s="66" t="s">
        <v>425</v>
      </c>
      <c r="D14" s="17" t="s">
        <v>447</v>
      </c>
      <c r="E14" s="17" t="s">
        <v>737</v>
      </c>
      <c r="F14" s="108" t="s">
        <v>468</v>
      </c>
      <c r="G14" s="107"/>
      <c r="H14" s="120" t="s">
        <v>493</v>
      </c>
      <c r="I14" s="146"/>
      <c r="J14" s="107"/>
    </row>
    <row r="15" spans="2:26" ht="187.2" hidden="1" x14ac:dyDescent="0.3">
      <c r="B15" s="55" t="s">
        <v>358</v>
      </c>
      <c r="C15" s="66" t="s">
        <v>426</v>
      </c>
      <c r="D15" s="17" t="s">
        <v>448</v>
      </c>
      <c r="E15" s="107" t="s">
        <v>590</v>
      </c>
      <c r="F15" s="108" t="s">
        <v>468</v>
      </c>
      <c r="G15" s="107"/>
      <c r="H15" s="120" t="s">
        <v>493</v>
      </c>
      <c r="I15" s="146"/>
      <c r="J15" s="107"/>
    </row>
    <row r="16" spans="2:26" ht="280.8" hidden="1" x14ac:dyDescent="0.3">
      <c r="B16" s="55" t="s">
        <v>358</v>
      </c>
      <c r="C16" s="66" t="s">
        <v>427</v>
      </c>
      <c r="D16" s="17" t="s">
        <v>449</v>
      </c>
      <c r="E16" s="17" t="s">
        <v>738</v>
      </c>
      <c r="F16" s="108" t="s">
        <v>467</v>
      </c>
      <c r="G16" s="107"/>
      <c r="H16" s="120" t="s">
        <v>493</v>
      </c>
      <c r="I16" s="146"/>
      <c r="J16" s="107"/>
    </row>
    <row r="17" spans="2:10" ht="409.6" hidden="1" x14ac:dyDescent="0.3">
      <c r="B17" s="55" t="s">
        <v>358</v>
      </c>
      <c r="C17" s="66" t="s">
        <v>428</v>
      </c>
      <c r="D17" s="17" t="s">
        <v>450</v>
      </c>
      <c r="E17" s="17" t="s">
        <v>739</v>
      </c>
      <c r="F17" s="108" t="s">
        <v>468</v>
      </c>
      <c r="G17" s="107"/>
      <c r="H17" s="120" t="s">
        <v>493</v>
      </c>
      <c r="I17" s="146"/>
      <c r="J17" s="107"/>
    </row>
    <row r="18" spans="2:10" ht="409.6" hidden="1" x14ac:dyDescent="0.3">
      <c r="B18" s="55" t="s">
        <v>358</v>
      </c>
      <c r="C18" s="66" t="s">
        <v>429</v>
      </c>
      <c r="D18" s="17" t="s">
        <v>451</v>
      </c>
      <c r="E18" s="17" t="s">
        <v>741</v>
      </c>
      <c r="F18" s="108" t="s">
        <v>468</v>
      </c>
      <c r="G18" s="107"/>
      <c r="H18" s="120" t="s">
        <v>493</v>
      </c>
      <c r="I18" s="146"/>
      <c r="J18" s="107"/>
    </row>
    <row r="19" spans="2:10" ht="358.8" hidden="1" x14ac:dyDescent="0.3">
      <c r="B19" s="55" t="s">
        <v>358</v>
      </c>
      <c r="C19" s="66" t="s">
        <v>430</v>
      </c>
      <c r="D19" s="17" t="s">
        <v>452</v>
      </c>
      <c r="E19" s="107" t="s">
        <v>591</v>
      </c>
      <c r="F19" s="108" t="s">
        <v>468</v>
      </c>
      <c r="G19" s="107"/>
      <c r="H19" s="120" t="s">
        <v>493</v>
      </c>
      <c r="I19" s="146"/>
      <c r="J19" s="107"/>
    </row>
    <row r="20" spans="2:10" ht="78" hidden="1" x14ac:dyDescent="0.3">
      <c r="B20" s="55"/>
      <c r="C20" s="66" t="s">
        <v>599</v>
      </c>
      <c r="D20" s="17" t="s">
        <v>600</v>
      </c>
      <c r="E20" s="107" t="s">
        <v>742</v>
      </c>
      <c r="F20" s="108" t="s">
        <v>468</v>
      </c>
      <c r="G20" s="107"/>
      <c r="H20" s="120" t="s">
        <v>493</v>
      </c>
      <c r="I20" s="146"/>
      <c r="J20" s="107"/>
    </row>
    <row r="21" spans="2:10" ht="140.4" hidden="1" x14ac:dyDescent="0.3">
      <c r="B21" s="55"/>
      <c r="C21" s="66" t="s">
        <v>597</v>
      </c>
      <c r="D21" s="17" t="s">
        <v>598</v>
      </c>
      <c r="E21" s="17" t="s">
        <v>743</v>
      </c>
      <c r="F21" s="108"/>
      <c r="G21" s="107"/>
      <c r="H21" s="120" t="s">
        <v>493</v>
      </c>
      <c r="I21" s="146"/>
      <c r="J21" s="107"/>
    </row>
    <row r="22" spans="2:10" ht="93.6" hidden="1" x14ac:dyDescent="0.3">
      <c r="B22" s="55" t="s">
        <v>358</v>
      </c>
      <c r="C22" s="66" t="s">
        <v>431</v>
      </c>
      <c r="D22" s="17" t="s">
        <v>453</v>
      </c>
      <c r="E22" s="17" t="s">
        <v>744</v>
      </c>
      <c r="F22" s="108" t="s">
        <v>468</v>
      </c>
      <c r="G22" s="107"/>
      <c r="H22" s="120" t="s">
        <v>493</v>
      </c>
      <c r="I22" s="146"/>
      <c r="J22" s="107"/>
    </row>
    <row r="23" spans="2:10" ht="202.8" hidden="1" x14ac:dyDescent="0.3">
      <c r="B23" s="55" t="s">
        <v>358</v>
      </c>
      <c r="C23" s="66" t="s">
        <v>416</v>
      </c>
      <c r="D23" s="17" t="s">
        <v>446</v>
      </c>
      <c r="E23" s="107" t="s">
        <v>591</v>
      </c>
      <c r="F23" s="108" t="s">
        <v>468</v>
      </c>
      <c r="G23" s="107"/>
      <c r="H23" s="120" t="s">
        <v>493</v>
      </c>
      <c r="I23" s="146"/>
      <c r="J23" s="107"/>
    </row>
    <row r="24" spans="2:10" ht="409.6" hidden="1" x14ac:dyDescent="0.3">
      <c r="B24" s="55" t="s">
        <v>358</v>
      </c>
      <c r="C24" s="66" t="s">
        <v>432</v>
      </c>
      <c r="D24" s="17" t="s">
        <v>454</v>
      </c>
      <c r="E24" s="17" t="s">
        <v>594</v>
      </c>
      <c r="F24" s="108" t="s">
        <v>468</v>
      </c>
      <c r="G24" s="107"/>
      <c r="H24" s="120" t="s">
        <v>493</v>
      </c>
      <c r="I24" s="146"/>
      <c r="J24" s="107"/>
    </row>
    <row r="25" spans="2:10" ht="93.6" hidden="1" x14ac:dyDescent="0.3">
      <c r="B25" s="55" t="s">
        <v>358</v>
      </c>
      <c r="C25" s="66" t="s">
        <v>434</v>
      </c>
      <c r="D25" s="17" t="s">
        <v>455</v>
      </c>
      <c r="E25" s="107" t="s">
        <v>592</v>
      </c>
      <c r="F25" s="108" t="s">
        <v>468</v>
      </c>
      <c r="G25" s="107"/>
      <c r="H25" s="120" t="s">
        <v>493</v>
      </c>
      <c r="I25" s="146"/>
      <c r="J25" s="107"/>
    </row>
    <row r="26" spans="2:10" ht="78" hidden="1" x14ac:dyDescent="0.3">
      <c r="B26" s="106"/>
      <c r="C26" s="66" t="s">
        <v>595</v>
      </c>
      <c r="D26" s="17" t="s">
        <v>596</v>
      </c>
      <c r="E26" s="17" t="s">
        <v>745</v>
      </c>
      <c r="F26" s="108" t="s">
        <v>468</v>
      </c>
      <c r="G26" s="107"/>
      <c r="H26" s="120" t="s">
        <v>493</v>
      </c>
      <c r="I26" s="146"/>
      <c r="J26" s="107"/>
    </row>
    <row r="27" spans="2:10" ht="78" hidden="1" x14ac:dyDescent="0.3">
      <c r="B27" s="55" t="s">
        <v>358</v>
      </c>
      <c r="C27" s="66" t="s">
        <v>435</v>
      </c>
      <c r="D27" s="17" t="s">
        <v>456</v>
      </c>
      <c r="E27" s="17" t="s">
        <v>746</v>
      </c>
      <c r="F27" s="108" t="s">
        <v>468</v>
      </c>
      <c r="G27" s="107"/>
      <c r="H27" s="120" t="s">
        <v>493</v>
      </c>
      <c r="I27" s="146"/>
      <c r="J27" s="107"/>
    </row>
    <row r="28" spans="2:10" ht="280.8" hidden="1" x14ac:dyDescent="0.3">
      <c r="B28" s="55" t="s">
        <v>358</v>
      </c>
      <c r="C28" s="66" t="s">
        <v>436</v>
      </c>
      <c r="D28" s="17" t="s">
        <v>457</v>
      </c>
      <c r="E28" s="107" t="s">
        <v>593</v>
      </c>
      <c r="F28" s="108" t="s">
        <v>468</v>
      </c>
      <c r="G28" s="107"/>
      <c r="H28" s="120" t="s">
        <v>493</v>
      </c>
      <c r="I28" s="146"/>
      <c r="J28" s="107"/>
    </row>
    <row r="29" spans="2:10" ht="25.8" x14ac:dyDescent="0.3">
      <c r="B29" s="55" t="s">
        <v>404</v>
      </c>
      <c r="C29" s="44" t="s">
        <v>404</v>
      </c>
      <c r="D29" s="115"/>
      <c r="E29" s="115"/>
      <c r="F29" s="115"/>
      <c r="G29" s="115"/>
      <c r="H29" s="125">
        <f>(COUNTIF(H30:H32, "Oui")/COUNTA(H30:H32))*100</f>
        <v>0</v>
      </c>
      <c r="I29" s="120"/>
      <c r="J29" s="115"/>
    </row>
    <row r="30" spans="2:10" ht="296.39999999999998" hidden="1" x14ac:dyDescent="0.3">
      <c r="B30" s="55" t="s">
        <v>404</v>
      </c>
      <c r="C30" s="71" t="s">
        <v>410</v>
      </c>
      <c r="D30" s="17" t="s">
        <v>440</v>
      </c>
      <c r="E30" s="17" t="s">
        <v>747</v>
      </c>
      <c r="F30" s="108" t="s">
        <v>468</v>
      </c>
      <c r="G30" s="107"/>
      <c r="H30" s="120" t="s">
        <v>493</v>
      </c>
      <c r="I30" s="146"/>
      <c r="J30" s="107"/>
    </row>
    <row r="31" spans="2:10" ht="312" hidden="1" x14ac:dyDescent="0.3">
      <c r="B31" s="55" t="s">
        <v>404</v>
      </c>
      <c r="C31" s="71" t="s">
        <v>458</v>
      </c>
      <c r="D31" s="17" t="s">
        <v>462</v>
      </c>
      <c r="E31" s="17" t="s">
        <v>748</v>
      </c>
      <c r="F31" s="108" t="s">
        <v>468</v>
      </c>
      <c r="G31" s="107"/>
      <c r="H31" s="120" t="s">
        <v>493</v>
      </c>
      <c r="I31" s="146"/>
      <c r="J31" s="107"/>
    </row>
    <row r="32" spans="2:10" ht="124.8" hidden="1" x14ac:dyDescent="0.3">
      <c r="B32" s="55" t="s">
        <v>404</v>
      </c>
      <c r="C32" s="71" t="s">
        <v>415</v>
      </c>
      <c r="D32" s="17" t="s">
        <v>445</v>
      </c>
      <c r="E32" s="17" t="s">
        <v>749</v>
      </c>
      <c r="F32" s="108" t="s">
        <v>468</v>
      </c>
      <c r="G32" s="107"/>
      <c r="H32" s="120" t="s">
        <v>493</v>
      </c>
      <c r="I32" s="146"/>
      <c r="J32" s="107"/>
    </row>
    <row r="33" spans="2:10" ht="25.8" x14ac:dyDescent="0.3">
      <c r="B33" s="55" t="s">
        <v>405</v>
      </c>
      <c r="C33" s="44" t="s">
        <v>405</v>
      </c>
      <c r="D33" s="115"/>
      <c r="E33" s="115"/>
      <c r="F33" s="115"/>
      <c r="G33" s="115"/>
      <c r="H33" s="125">
        <f>(COUNTIF(H34:H35, "Oui")/COUNTA(H34:H35))*100</f>
        <v>0</v>
      </c>
      <c r="I33" s="120"/>
      <c r="J33" s="115"/>
    </row>
    <row r="34" spans="2:10" ht="140.4" hidden="1" x14ac:dyDescent="0.3">
      <c r="B34" s="55" t="s">
        <v>405</v>
      </c>
      <c r="C34" s="66" t="s">
        <v>459</v>
      </c>
      <c r="D34" s="17" t="s">
        <v>463</v>
      </c>
      <c r="E34" s="17" t="s">
        <v>750</v>
      </c>
      <c r="F34" s="108" t="s">
        <v>468</v>
      </c>
      <c r="G34" s="107"/>
      <c r="H34" s="120" t="s">
        <v>493</v>
      </c>
      <c r="I34" s="146"/>
      <c r="J34" s="107"/>
    </row>
    <row r="35" spans="2:10" ht="296.39999999999998" hidden="1" x14ac:dyDescent="0.3">
      <c r="B35" s="55" t="s">
        <v>405</v>
      </c>
      <c r="C35" s="66" t="s">
        <v>460</v>
      </c>
      <c r="D35" s="17" t="s">
        <v>464</v>
      </c>
      <c r="E35" s="17" t="s">
        <v>751</v>
      </c>
      <c r="F35" s="108" t="s">
        <v>468</v>
      </c>
      <c r="G35" s="107"/>
      <c r="H35" s="120" t="s">
        <v>493</v>
      </c>
      <c r="I35" s="146"/>
      <c r="J35" s="107"/>
    </row>
    <row r="36" spans="2:10" ht="25.8" x14ac:dyDescent="0.3">
      <c r="B36" s="55" t="s">
        <v>406</v>
      </c>
      <c r="C36" s="44" t="s">
        <v>406</v>
      </c>
      <c r="D36" s="115"/>
      <c r="E36" s="115"/>
      <c r="F36" s="115"/>
      <c r="G36" s="115"/>
      <c r="H36" s="125">
        <f>(COUNTIF(H37:H37, "Oui")/COUNTA(H37:H37))*100</f>
        <v>0</v>
      </c>
      <c r="I36" s="120"/>
      <c r="J36" s="115"/>
    </row>
    <row r="37" spans="2:10" ht="187.2" hidden="1" x14ac:dyDescent="0.3">
      <c r="B37" s="56" t="s">
        <v>406</v>
      </c>
      <c r="C37" s="66" t="s">
        <v>461</v>
      </c>
      <c r="D37" s="17" t="s">
        <v>465</v>
      </c>
      <c r="E37" s="17"/>
      <c r="F37" s="108" t="s">
        <v>468</v>
      </c>
      <c r="G37" s="107"/>
      <c r="H37" s="120" t="s">
        <v>493</v>
      </c>
      <c r="I37" s="146"/>
      <c r="J37" s="107"/>
    </row>
  </sheetData>
  <conditionalFormatting sqref="F3:F28 F30:F32 F34:F35 F37">
    <cfRule type="containsText" dxfId="72" priority="64" operator="containsText" text="Non">
      <formula>NOT(ISERROR(SEARCH("Non",F3)))</formula>
    </cfRule>
    <cfRule type="containsText" dxfId="71" priority="65" operator="containsText" text="Partiellement">
      <formula>NOT(ISERROR(SEARCH("Partiellement",F3)))</formula>
    </cfRule>
    <cfRule type="containsText" dxfId="70" priority="66" operator="containsText" text="Oui">
      <formula>NOT(ISERROR(SEARCH("Oui",F3)))</formula>
    </cfRule>
  </conditionalFormatting>
  <conditionalFormatting sqref="H2">
    <cfRule type="cellIs" dxfId="69" priority="48" operator="greaterThan">
      <formula>75</formula>
    </cfRule>
    <cfRule type="cellIs" dxfId="68" priority="49" operator="between">
      <formula>50</formula>
      <formula>75</formula>
    </cfRule>
    <cfRule type="cellIs" dxfId="67" priority="50" operator="between">
      <formula>25</formula>
      <formula>50</formula>
    </cfRule>
    <cfRule type="cellIs" dxfId="66" priority="51" operator="lessThan">
      <formula>25</formula>
    </cfRule>
    <cfRule type="cellIs" dxfId="65" priority="52" operator="between">
      <formula>0</formula>
      <formula>"24.9"</formula>
    </cfRule>
  </conditionalFormatting>
  <conditionalFormatting sqref="H3:H28 H30:H32 H34:H35 H37">
    <cfRule type="containsText" dxfId="64" priority="58" operator="containsText" text="Partiellement">
      <formula>NOT(ISERROR(SEARCH("Partiellement",H3)))</formula>
    </cfRule>
    <cfRule type="containsText" dxfId="63" priority="59" operator="containsText" text="Non Conforme">
      <formula>NOT(ISERROR(SEARCH("Non Conforme",H3)))</formula>
    </cfRule>
    <cfRule type="containsText" dxfId="62" priority="60" operator="containsText" text="Conforme">
      <formula>NOT(ISERROR(SEARCH("Conforme",H3)))</formula>
    </cfRule>
    <cfRule type="containsText" dxfId="61" priority="61" operator="containsText" text="Non">
      <formula>NOT(ISERROR(SEARCH("Non",H3)))</formula>
    </cfRule>
    <cfRule type="containsText" dxfId="60" priority="62" operator="containsText" text="Partiellement">
      <formula>NOT(ISERROR(SEARCH("Partiellement",H3)))</formula>
    </cfRule>
    <cfRule type="containsText" dxfId="59" priority="63" operator="containsText" text="Oui">
      <formula>NOT(ISERROR(SEARCH("Oui",H3)))</formula>
    </cfRule>
  </conditionalFormatting>
  <conditionalFormatting sqref="H29">
    <cfRule type="cellIs" dxfId="58" priority="43" operator="greaterThan">
      <formula>75</formula>
    </cfRule>
    <cfRule type="cellIs" dxfId="57" priority="44" operator="between">
      <formula>50</formula>
      <formula>75</formula>
    </cfRule>
    <cfRule type="cellIs" dxfId="56" priority="45" operator="between">
      <formula>25</formula>
      <formula>50</formula>
    </cfRule>
    <cfRule type="cellIs" dxfId="55" priority="46" operator="lessThan">
      <formula>25</formula>
    </cfRule>
    <cfRule type="cellIs" dxfId="54" priority="47" operator="between">
      <formula>0</formula>
      <formula>"24.9"</formula>
    </cfRule>
  </conditionalFormatting>
  <conditionalFormatting sqref="H33">
    <cfRule type="cellIs" dxfId="53" priority="38" operator="greaterThan">
      <formula>75</formula>
    </cfRule>
    <cfRule type="cellIs" dxfId="52" priority="39" operator="between">
      <formula>50</formula>
      <formula>75</formula>
    </cfRule>
    <cfRule type="cellIs" dxfId="51" priority="40" operator="between">
      <formula>25</formula>
      <formula>50</formula>
    </cfRule>
    <cfRule type="cellIs" dxfId="50" priority="41" operator="lessThan">
      <formula>25</formula>
    </cfRule>
    <cfRule type="cellIs" dxfId="49" priority="42" operator="between">
      <formula>0</formula>
      <formula>"24.9"</formula>
    </cfRule>
  </conditionalFormatting>
  <conditionalFormatting sqref="H36">
    <cfRule type="cellIs" dxfId="48" priority="33" operator="greaterThan">
      <formula>75</formula>
    </cfRule>
    <cfRule type="cellIs" dxfId="47" priority="34" operator="between">
      <formula>50</formula>
      <formula>75</formula>
    </cfRule>
    <cfRule type="cellIs" dxfId="46" priority="35" operator="between">
      <formula>25</formula>
      <formula>50</formula>
    </cfRule>
    <cfRule type="cellIs" dxfId="45" priority="36" operator="lessThan">
      <formula>25</formula>
    </cfRule>
    <cfRule type="cellIs" dxfId="44" priority="37" operator="between">
      <formula>0</formula>
      <formula>"24.9"</formula>
    </cfRule>
  </conditionalFormatting>
  <conditionalFormatting sqref="I2">
    <cfRule type="containsText" dxfId="43" priority="25" operator="containsText" text="Non Conforme">
      <formula>NOT(ISERROR(SEARCH("Non Conforme",I2)))</formula>
    </cfRule>
    <cfRule type="containsText" dxfId="42" priority="26" operator="containsText" text="Conforme">
      <formula>NOT(ISERROR(SEARCH("Conforme",I2)))</formula>
    </cfRule>
    <cfRule type="containsText" dxfId="41" priority="27" operator="containsText" text="Partiellement">
      <formula>NOT(ISERROR(SEARCH("Partiellement",I2)))</formula>
    </cfRule>
    <cfRule type="containsText" dxfId="40" priority="28" operator="containsText" text="Non Conforme">
      <formula>NOT(ISERROR(SEARCH("Non Conforme",I2)))</formula>
    </cfRule>
    <cfRule type="containsText" dxfId="39" priority="29" operator="containsText" text="Conforme">
      <formula>NOT(ISERROR(SEARCH("Conforme",I2)))</formula>
    </cfRule>
    <cfRule type="containsText" dxfId="38" priority="30" operator="containsText" text="Non">
      <formula>NOT(ISERROR(SEARCH("Non",I2)))</formula>
    </cfRule>
    <cfRule type="containsText" dxfId="37" priority="31" operator="containsText" text="Partiellement">
      <formula>NOT(ISERROR(SEARCH("Partiellement",I2)))</formula>
    </cfRule>
    <cfRule type="containsText" dxfId="36" priority="32" operator="containsText" text="Oui">
      <formula>NOT(ISERROR(SEARCH("Oui",I2)))</formula>
    </cfRule>
  </conditionalFormatting>
  <conditionalFormatting sqref="I29">
    <cfRule type="containsText" dxfId="35" priority="17" operator="containsText" text="Non Conforme">
      <formula>NOT(ISERROR(SEARCH("Non Conforme",I29)))</formula>
    </cfRule>
    <cfRule type="containsText" dxfId="34" priority="18" operator="containsText" text="Conforme">
      <formula>NOT(ISERROR(SEARCH("Conforme",I29)))</formula>
    </cfRule>
    <cfRule type="containsText" dxfId="33" priority="19" operator="containsText" text="Partiellement">
      <formula>NOT(ISERROR(SEARCH("Partiellement",I29)))</formula>
    </cfRule>
    <cfRule type="containsText" dxfId="32" priority="20" operator="containsText" text="Non Conforme">
      <formula>NOT(ISERROR(SEARCH("Non Conforme",I29)))</formula>
    </cfRule>
    <cfRule type="containsText" dxfId="31" priority="21" operator="containsText" text="Conforme">
      <formula>NOT(ISERROR(SEARCH("Conforme",I29)))</formula>
    </cfRule>
    <cfRule type="containsText" dxfId="30" priority="22" operator="containsText" text="Non">
      <formula>NOT(ISERROR(SEARCH("Non",I29)))</formula>
    </cfRule>
    <cfRule type="containsText" dxfId="29" priority="23" operator="containsText" text="Partiellement">
      <formula>NOT(ISERROR(SEARCH("Partiellement",I29)))</formula>
    </cfRule>
    <cfRule type="containsText" dxfId="28" priority="24" operator="containsText" text="Oui">
      <formula>NOT(ISERROR(SEARCH("Oui",I29)))</formula>
    </cfRule>
  </conditionalFormatting>
  <conditionalFormatting sqref="I33">
    <cfRule type="containsText" dxfId="27" priority="9" operator="containsText" text="Non Conforme">
      <formula>NOT(ISERROR(SEARCH("Non Conforme",I33)))</formula>
    </cfRule>
    <cfRule type="containsText" dxfId="26" priority="10" operator="containsText" text="Conforme">
      <formula>NOT(ISERROR(SEARCH("Conforme",I33)))</formula>
    </cfRule>
    <cfRule type="containsText" dxfId="25" priority="11" operator="containsText" text="Partiellement">
      <formula>NOT(ISERROR(SEARCH("Partiellement",I33)))</formula>
    </cfRule>
    <cfRule type="containsText" dxfId="24" priority="12" operator="containsText" text="Non Conforme">
      <formula>NOT(ISERROR(SEARCH("Non Conforme",I33)))</formula>
    </cfRule>
    <cfRule type="containsText" dxfId="23" priority="13" operator="containsText" text="Conforme">
      <formula>NOT(ISERROR(SEARCH("Conforme",I33)))</formula>
    </cfRule>
    <cfRule type="containsText" dxfId="22" priority="14" operator="containsText" text="Non">
      <formula>NOT(ISERROR(SEARCH("Non",I33)))</formula>
    </cfRule>
    <cfRule type="containsText" dxfId="21" priority="15" operator="containsText" text="Partiellement">
      <formula>NOT(ISERROR(SEARCH("Partiellement",I33)))</formula>
    </cfRule>
    <cfRule type="containsText" dxfId="20" priority="16" operator="containsText" text="Oui">
      <formula>NOT(ISERROR(SEARCH("Oui",I33)))</formula>
    </cfRule>
  </conditionalFormatting>
  <conditionalFormatting sqref="I36">
    <cfRule type="containsText" dxfId="19" priority="1" operator="containsText" text="Non Conforme">
      <formula>NOT(ISERROR(SEARCH("Non Conforme",I36)))</formula>
    </cfRule>
    <cfRule type="containsText" dxfId="18" priority="2" operator="containsText" text="Conforme">
      <formula>NOT(ISERROR(SEARCH("Conforme",I36)))</formula>
    </cfRule>
    <cfRule type="containsText" dxfId="17" priority="3" operator="containsText" text="Partiellement">
      <formula>NOT(ISERROR(SEARCH("Partiellement",I36)))</formula>
    </cfRule>
    <cfRule type="containsText" dxfId="16" priority="4" operator="containsText" text="Non Conforme">
      <formula>NOT(ISERROR(SEARCH("Non Conforme",I36)))</formula>
    </cfRule>
    <cfRule type="containsText" dxfId="15" priority="5" operator="containsText" text="Conforme">
      <formula>NOT(ISERROR(SEARCH("Conforme",I36)))</formula>
    </cfRule>
    <cfRule type="containsText" dxfId="14" priority="6" operator="containsText" text="Non">
      <formula>NOT(ISERROR(SEARCH("Non",I36)))</formula>
    </cfRule>
    <cfRule type="containsText" dxfId="13" priority="7" operator="containsText" text="Partiellement">
      <formula>NOT(ISERROR(SEARCH("Partiellement",I36)))</formula>
    </cfRule>
    <cfRule type="containsText" dxfId="12" priority="8" operator="containsText" text="Oui">
      <formula>NOT(ISERROR(SEARCH("Oui",I36)))</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F61107-2D5D-4BB0-9536-DB2DED80B3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Page de garde</vt:lpstr>
      <vt:lpstr>Données personnelles TN</vt:lpstr>
      <vt:lpstr>Sécurité de l'information  TN</vt:lpstr>
      <vt:lpstr>Propriété intellectuelle + brev</vt:lpstr>
      <vt:lpstr>RGPD</vt:lpstr>
      <vt:lpstr>Securité de l'information FR</vt:lpstr>
      <vt:lpstr>Prop intellectuelle + brevts FR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ALA.E.ERRACHID</dc:creator>
  <cp:lastModifiedBy>ALA.E.ERRACHID</cp:lastModifiedBy>
  <dcterms:created xsi:type="dcterms:W3CDTF">2015-06-05T18:17:20Z</dcterms:created>
  <dcterms:modified xsi:type="dcterms:W3CDTF">2026-08-17T10:55:58Z</dcterms:modified>
</cp:coreProperties>
</file>